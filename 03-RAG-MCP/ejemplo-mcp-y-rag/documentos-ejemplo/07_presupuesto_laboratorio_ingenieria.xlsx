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rodriguez/Projects/curso-ia/03-RAG-MCP/documentos-ejemplo/"/>
    </mc:Choice>
  </mc:AlternateContent>
  <xr:revisionPtr revIDLastSave="0" documentId="8_{753B0ED9-B460-2446-AA06-E2130B0BB1D3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Presupuesto" sheetId="1" r:id="rId1"/>
    <sheet name="Resumen por categoría" sheetId="2" r:id="rId2"/>
    <sheet name="Cronograma" sheetId="3" r:id="rId3"/>
    <sheet name="Proveedores" sheetId="4" r:id="rId4"/>
    <sheet name="Inventario" sheetId="5" r:id="rId5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B13" i="2"/>
  <c r="B12" i="2"/>
  <c r="B11" i="2"/>
  <c r="C10" i="2"/>
  <c r="B10" i="2"/>
  <c r="B9" i="2"/>
  <c r="B8" i="2"/>
  <c r="B7" i="2"/>
  <c r="B6" i="2"/>
  <c r="B5" i="2"/>
  <c r="B4" i="2"/>
  <c r="B3" i="2"/>
  <c r="B2" i="2"/>
  <c r="F41" i="1"/>
  <c r="G41" i="1" s="1"/>
  <c r="H41" i="1" s="1"/>
  <c r="F40" i="1"/>
  <c r="G40" i="1" s="1"/>
  <c r="H40" i="1" s="1"/>
  <c r="F39" i="1"/>
  <c r="G39" i="1" s="1"/>
  <c r="F38" i="1"/>
  <c r="G38" i="1" s="1"/>
  <c r="F37" i="1"/>
  <c r="F36" i="1"/>
  <c r="F35" i="1"/>
  <c r="F34" i="1"/>
  <c r="G34" i="1" s="1"/>
  <c r="H34" i="1" s="1"/>
  <c r="F33" i="1"/>
  <c r="G33" i="1" s="1"/>
  <c r="H33" i="1" s="1"/>
  <c r="F32" i="1"/>
  <c r="F31" i="1"/>
  <c r="G31" i="1" s="1"/>
  <c r="H31" i="1" s="1"/>
  <c r="F30" i="1"/>
  <c r="G30" i="1" s="1"/>
  <c r="H30" i="1" s="1"/>
  <c r="F29" i="1"/>
  <c r="F28" i="1"/>
  <c r="F27" i="1"/>
  <c r="F26" i="1"/>
  <c r="C12" i="2" s="1"/>
  <c r="F25" i="1"/>
  <c r="F24" i="1"/>
  <c r="C11" i="2" s="1"/>
  <c r="F23" i="1"/>
  <c r="G23" i="1" s="1"/>
  <c r="F22" i="1"/>
  <c r="F21" i="1"/>
  <c r="G21" i="1" s="1"/>
  <c r="H21" i="1" s="1"/>
  <c r="G20" i="1"/>
  <c r="F20" i="1"/>
  <c r="F19" i="1"/>
  <c r="F18" i="1"/>
  <c r="C9" i="2" s="1"/>
  <c r="F17" i="1"/>
  <c r="C8" i="2" s="1"/>
  <c r="F16" i="1"/>
  <c r="F15" i="1"/>
  <c r="C7" i="2" s="1"/>
  <c r="F14" i="1"/>
  <c r="G14" i="1" s="1"/>
  <c r="H14" i="1" s="1"/>
  <c r="F13" i="1"/>
  <c r="G13" i="1" s="1"/>
  <c r="H13" i="1" s="1"/>
  <c r="F12" i="1"/>
  <c r="G11" i="1"/>
  <c r="H11" i="1" s="1"/>
  <c r="F11" i="1"/>
  <c r="F10" i="1"/>
  <c r="C5" i="2" s="1"/>
  <c r="F9" i="1"/>
  <c r="G9" i="1" s="1"/>
  <c r="F8" i="1"/>
  <c r="F7" i="1"/>
  <c r="C4" i="2" s="1"/>
  <c r="F6" i="1"/>
  <c r="F5" i="1"/>
  <c r="G5" i="1" s="1"/>
  <c r="F4" i="1"/>
  <c r="C3" i="2" s="1"/>
  <c r="F3" i="1"/>
  <c r="G3" i="1" s="1"/>
  <c r="F2" i="1"/>
  <c r="G10" i="1" l="1"/>
  <c r="D5" i="2" s="1"/>
  <c r="B14" i="2"/>
  <c r="C2" i="2"/>
  <c r="H23" i="1"/>
  <c r="H16" i="1"/>
  <c r="H25" i="1"/>
  <c r="C14" i="2"/>
  <c r="H28" i="1"/>
  <c r="H29" i="1"/>
  <c r="H3" i="1"/>
  <c r="G7" i="1"/>
  <c r="H7" i="1" s="1"/>
  <c r="H10" i="1"/>
  <c r="E5" i="2" s="1"/>
  <c r="G17" i="1"/>
  <c r="H17" i="1" s="1"/>
  <c r="H20" i="1"/>
  <c r="G27" i="1"/>
  <c r="H27" i="1" s="1"/>
  <c r="G37" i="1"/>
  <c r="H37" i="1" s="1"/>
  <c r="G4" i="1"/>
  <c r="H4" i="1" s="1"/>
  <c r="G24" i="1"/>
  <c r="H24" i="1" s="1"/>
  <c r="G18" i="1"/>
  <c r="H18" i="1" s="1"/>
  <c r="G28" i="1"/>
  <c r="G25" i="1"/>
  <c r="G35" i="1"/>
  <c r="H35" i="1" s="1"/>
  <c r="H38" i="1"/>
  <c r="F42" i="1"/>
  <c r="H5" i="1"/>
  <c r="G8" i="1"/>
  <c r="H8" i="1" s="1"/>
  <c r="G15" i="1"/>
  <c r="D7" i="2" s="1"/>
  <c r="C6" i="2"/>
  <c r="G2" i="1"/>
  <c r="G12" i="1"/>
  <c r="H12" i="1" s="1"/>
  <c r="G22" i="1"/>
  <c r="H22" i="1" s="1"/>
  <c r="G32" i="1"/>
  <c r="H32" i="1" s="1"/>
  <c r="H2" i="1"/>
  <c r="G19" i="1"/>
  <c r="H19" i="1" s="1"/>
  <c r="G29" i="1"/>
  <c r="G6" i="1"/>
  <c r="H6" i="1" s="1"/>
  <c r="H9" i="1"/>
  <c r="G16" i="1"/>
  <c r="G36" i="1"/>
  <c r="H36" i="1" s="1"/>
  <c r="H39" i="1"/>
  <c r="G26" i="1"/>
  <c r="D12" i="2" s="1"/>
  <c r="H26" i="1" l="1"/>
  <c r="D8" i="2"/>
  <c r="E6" i="2"/>
  <c r="E3" i="2"/>
  <c r="D3" i="2"/>
  <c r="E13" i="2"/>
  <c r="E4" i="2"/>
  <c r="E2" i="2"/>
  <c r="E12" i="2"/>
  <c r="E8" i="2"/>
  <c r="D11" i="2"/>
  <c r="E10" i="2"/>
  <c r="D6" i="2"/>
  <c r="E11" i="2"/>
  <c r="D13" i="2"/>
  <c r="D10" i="2"/>
  <c r="E9" i="2"/>
  <c r="H15" i="1"/>
  <c r="E7" i="2" s="1"/>
  <c r="G42" i="1"/>
  <c r="D2" i="2"/>
  <c r="D9" i="2"/>
  <c r="D4" i="2"/>
  <c r="D14" i="2" l="1"/>
  <c r="E14" i="2"/>
  <c r="H42" i="1"/>
</calcChain>
</file>

<file path=xl/sharedStrings.xml><?xml version="1.0" encoding="utf-8"?>
<sst xmlns="http://schemas.openxmlformats.org/spreadsheetml/2006/main" count="769" uniqueCount="330">
  <si>
    <t>Código</t>
  </si>
  <si>
    <t>Partida</t>
  </si>
  <si>
    <t>Categoría</t>
  </si>
  <si>
    <t>Cantidad</t>
  </si>
  <si>
    <t>Coste unitario EUR</t>
  </si>
  <si>
    <t>Subtotal EUR</t>
  </si>
  <si>
    <t>IVA 21%</t>
  </si>
  <si>
    <t>Total EUR</t>
  </si>
  <si>
    <t>Prioridad</t>
  </si>
  <si>
    <t>Proveedor/nota</t>
  </si>
  <si>
    <t>LAB-001</t>
  </si>
  <si>
    <t>Kits Arduino compatibles</t>
  </si>
  <si>
    <t>Electrónica</t>
  </si>
  <si>
    <t>Alta</t>
  </si>
  <si>
    <t>Incluye placa, cable y protoboard</t>
  </si>
  <si>
    <t>LAB-002</t>
  </si>
  <si>
    <t>Sensores ultrasónicos</t>
  </si>
  <si>
    <t>Sensórica</t>
  </si>
  <si>
    <t>Media</t>
  </si>
  <si>
    <t>Repuesto para robótica móvil</t>
  </si>
  <si>
    <t>LAB-003</t>
  </si>
  <si>
    <t>Sensores infrarrojos reflectivos</t>
  </si>
  <si>
    <t>Seguimiento de línea</t>
  </si>
  <si>
    <t>LAB-004</t>
  </si>
  <si>
    <t>IMU 9 ejes</t>
  </si>
  <si>
    <t>Orientación y vibraciones</t>
  </si>
  <si>
    <t>LAB-005</t>
  </si>
  <si>
    <t>Encoders magnéticos</t>
  </si>
  <si>
    <t>Control de velocidad</t>
  </si>
  <si>
    <t>LAB-006</t>
  </si>
  <si>
    <t>Motores DC con reductora</t>
  </si>
  <si>
    <t>Actuadores</t>
  </si>
  <si>
    <t>Par medio, eje metálico</t>
  </si>
  <si>
    <t>LAB-007</t>
  </si>
  <si>
    <t>Servomotores estándar</t>
  </si>
  <si>
    <t>Brazos y mecanismos</t>
  </si>
  <si>
    <t>LAB-008</t>
  </si>
  <si>
    <t>Drivers de motor</t>
  </si>
  <si>
    <t>Puente H doble</t>
  </si>
  <si>
    <t>LAB-009</t>
  </si>
  <si>
    <t>Baterías Li-Ion protegidas</t>
  </si>
  <si>
    <t>Energía</t>
  </si>
  <si>
    <t>Compra con cargador homologado</t>
  </si>
  <si>
    <t>LAB-010</t>
  </si>
  <si>
    <t>Cargadores balanceados</t>
  </si>
  <si>
    <t>Para packs de laboratorio</t>
  </si>
  <si>
    <t>LAB-011</t>
  </si>
  <si>
    <t>Filamento PLA 1 kg</t>
  </si>
  <si>
    <t>Fabricación</t>
  </si>
  <si>
    <t>Colores por equipos</t>
  </si>
  <si>
    <t>LAB-012</t>
  </si>
  <si>
    <t>Filamento PETG 1 kg</t>
  </si>
  <si>
    <t>Piezas resistentes</t>
  </si>
  <si>
    <t>LAB-013</t>
  </si>
  <si>
    <t>Boquillas impresora 3D</t>
  </si>
  <si>
    <t>Reposición</t>
  </si>
  <si>
    <t>LAB-014</t>
  </si>
  <si>
    <t>Licencias simulador educativo</t>
  </si>
  <si>
    <t>Software</t>
  </si>
  <si>
    <t>Suscripción anual docente</t>
  </si>
  <si>
    <t>LAB-015</t>
  </si>
  <si>
    <t>Switch gestionable 8 puertos</t>
  </si>
  <si>
    <t>Redes</t>
  </si>
  <si>
    <t>VLAN y mirroring</t>
  </si>
  <si>
    <t>LAB-016</t>
  </si>
  <si>
    <t>Puntos de acceso WiFi 6</t>
  </si>
  <si>
    <t>Laboratorio inalámbrico</t>
  </si>
  <si>
    <t>LAB-017</t>
  </si>
  <si>
    <t>Raspberry Pi 5</t>
  </si>
  <si>
    <t>Computación</t>
  </si>
  <si>
    <t>Pasarelas industriales</t>
  </si>
  <si>
    <t>LAB-018</t>
  </si>
  <si>
    <t>Tarjetas microSD 64 GB</t>
  </si>
  <si>
    <t>Imágenes de prácticas</t>
  </si>
  <si>
    <t>LAB-019</t>
  </si>
  <si>
    <t>Multímetros digitales</t>
  </si>
  <si>
    <t>Instrumentación</t>
  </si>
  <si>
    <t>Uso compartido</t>
  </si>
  <si>
    <t>LAB-020</t>
  </si>
  <si>
    <t>Osciloscopio USB</t>
  </si>
  <si>
    <t>Puestos de medida</t>
  </si>
  <si>
    <t>LAB-021</t>
  </si>
  <si>
    <t>Fuentes de alimentación regulables</t>
  </si>
  <si>
    <t>0-30 V</t>
  </si>
  <si>
    <t>LAB-022</t>
  </si>
  <si>
    <t>Gafas de seguridad</t>
  </si>
  <si>
    <t>Seguridad</t>
  </si>
  <si>
    <t>Taller y soldadura</t>
  </si>
  <si>
    <t>LAB-023</t>
  </si>
  <si>
    <t>Guantes antiestáticos</t>
  </si>
  <si>
    <t>Manipulación electrónica</t>
  </si>
  <si>
    <t>LAB-024</t>
  </si>
  <si>
    <t>Extintor CO2 revisión</t>
  </si>
  <si>
    <t>Mantenimiento anual</t>
  </si>
  <si>
    <t>LAB-025</t>
  </si>
  <si>
    <t>Carros de almacenamiento</t>
  </si>
  <si>
    <t>Mobiliario</t>
  </si>
  <si>
    <t>Material por equipos</t>
  </si>
  <si>
    <t>LAB-026</t>
  </si>
  <si>
    <t>Cajas organizadoras</t>
  </si>
  <si>
    <t>Tornillería y sensores</t>
  </si>
  <si>
    <t>LAB-027</t>
  </si>
  <si>
    <t>Cables Dupont surtidos</t>
  </si>
  <si>
    <t>Fungible</t>
  </si>
  <si>
    <t>Reposición por grupos</t>
  </si>
  <si>
    <t>LAB-028</t>
  </si>
  <si>
    <t>Estaño sin plomo</t>
  </si>
  <si>
    <t>Soldadura</t>
  </si>
  <si>
    <t>LAB-029</t>
  </si>
  <si>
    <t>Tubos termorretráctiles</t>
  </si>
  <si>
    <t>Aislamiento</t>
  </si>
  <si>
    <t>LAB-030</t>
  </si>
  <si>
    <t>Conectores JST surtidos</t>
  </si>
  <si>
    <t>Baterías y sensores</t>
  </si>
  <si>
    <t>LAB-031</t>
  </si>
  <si>
    <t>Placas prototipo perforadas</t>
  </si>
  <si>
    <t>Montajes permanentes</t>
  </si>
  <si>
    <t>LAB-032</t>
  </si>
  <si>
    <t>Tornillería M3 surtida</t>
  </si>
  <si>
    <t>Chasis</t>
  </si>
  <si>
    <t>LAB-033</t>
  </si>
  <si>
    <t>Ruedas de goma 65 mm</t>
  </si>
  <si>
    <t>Robots diferenciales</t>
  </si>
  <si>
    <t>LAB-034</t>
  </si>
  <si>
    <t>Rodamientos pequeños</t>
  </si>
  <si>
    <t>Ejes y ruedas</t>
  </si>
  <si>
    <t>LAB-035</t>
  </si>
  <si>
    <t>Módulos relé optoaislados</t>
  </si>
  <si>
    <t>Automatización segura</t>
  </si>
  <si>
    <t>LAB-036</t>
  </si>
  <si>
    <t>Conversores USB-RS485</t>
  </si>
  <si>
    <t>Modbus RTU</t>
  </si>
  <si>
    <t>LAB-037</t>
  </si>
  <si>
    <t>Gateway MQTT industrial</t>
  </si>
  <si>
    <t>Demo IIoT</t>
  </si>
  <si>
    <t>LAB-038</t>
  </si>
  <si>
    <t>Sensores de temperatura PT100</t>
  </si>
  <si>
    <t>Prácticas de control</t>
  </si>
  <si>
    <t>LAB-039</t>
  </si>
  <si>
    <t>Amplificadores instrumentación</t>
  </si>
  <si>
    <t>Acondicionamiento</t>
  </si>
  <si>
    <t>LAB-040</t>
  </si>
  <si>
    <t>Botoneras de emergencia</t>
  </si>
  <si>
    <t>Bancos de pruebas</t>
  </si>
  <si>
    <t>TOTAL</t>
  </si>
  <si>
    <t/>
  </si>
  <si>
    <t>Número partidas</t>
  </si>
  <si>
    <t>IVA EUR</t>
  </si>
  <si>
    <t>Mes</t>
  </si>
  <si>
    <t>Actividad</t>
  </si>
  <si>
    <t>Coste previsto EUR</t>
  </si>
  <si>
    <t>Responsable</t>
  </si>
  <si>
    <t>Estado</t>
  </si>
  <si>
    <t>Riesgo</t>
  </si>
  <si>
    <t>Septiembre</t>
  </si>
  <si>
    <t>Compra de electrónica básica y fungibles</t>
  </si>
  <si>
    <t>Coordinador de laboratorio</t>
  </si>
  <si>
    <t>Planificado</t>
  </si>
  <si>
    <t>Bajo</t>
  </si>
  <si>
    <t>Revisión de seguridad y EPI</t>
  </si>
  <si>
    <t>Técnico de prevención</t>
  </si>
  <si>
    <t>Octubre</t>
  </si>
  <si>
    <t>Fabricación y montaje de prototipos</t>
  </si>
  <si>
    <t>Técnico de taller</t>
  </si>
  <si>
    <t>Pendiente</t>
  </si>
  <si>
    <t>Medio</t>
  </si>
  <si>
    <t>Puesta a punto de impresoras 3D</t>
  </si>
  <si>
    <t>Taller</t>
  </si>
  <si>
    <t>Noviembre</t>
  </si>
  <si>
    <t>Renovación de red docente</t>
  </si>
  <si>
    <t>Profesor de Redes</t>
  </si>
  <si>
    <t>Configuración de gateways industriales</t>
  </si>
  <si>
    <t>Profesor de Automatización</t>
  </si>
  <si>
    <t>Alto</t>
  </si>
  <si>
    <t>Diciembre</t>
  </si>
  <si>
    <t>Licencias software y reposición</t>
  </si>
  <si>
    <t>Administración</t>
  </si>
  <si>
    <t>Enero</t>
  </si>
  <si>
    <t>Inventario intermedio</t>
  </si>
  <si>
    <t>Secretaría técnica</t>
  </si>
  <si>
    <t>Febrero</t>
  </si>
  <si>
    <t>Reposición por roturas de primer semestre</t>
  </si>
  <si>
    <t>Reserva</t>
  </si>
  <si>
    <t>Marzo</t>
  </si>
  <si>
    <t>Compra de instrumentación complementaria</t>
  </si>
  <si>
    <t>Departamento</t>
  </si>
  <si>
    <t>Abril</t>
  </si>
  <si>
    <t>Auditoría de uso y calibración</t>
  </si>
  <si>
    <t>Técnico de laboratorio</t>
  </si>
  <si>
    <t>Mayo</t>
  </si>
  <si>
    <t>Preparación demostraciones finales</t>
  </si>
  <si>
    <t>Profesores responsables</t>
  </si>
  <si>
    <t>Proveedor</t>
  </si>
  <si>
    <t>Tipo</t>
  </si>
  <si>
    <t>Plazo días</t>
  </si>
  <si>
    <t>Condiciones</t>
  </si>
  <si>
    <t>Contacto ficticio</t>
  </si>
  <si>
    <t>Valoración 1-5</t>
  </si>
  <si>
    <t>Proveedor Técnico 01</t>
  </si>
  <si>
    <t>Pago a 30 días</t>
  </si>
  <si>
    <t>compras01@ejemplo.edu</t>
  </si>
  <si>
    <t>Proveedor Técnico 02</t>
  </si>
  <si>
    <t>Transferencia anticipada</t>
  </si>
  <si>
    <t>compras02@ejemplo.edu</t>
  </si>
  <si>
    <t>Proveedor Técnico 03</t>
  </si>
  <si>
    <t>compras03@ejemplo.edu</t>
  </si>
  <si>
    <t>Proveedor Técnico 04</t>
  </si>
  <si>
    <t>compras04@ejemplo.edu</t>
  </si>
  <si>
    <t>Proveedor Técnico 05</t>
  </si>
  <si>
    <t>compras05@ejemplo.edu</t>
  </si>
  <si>
    <t>Proveedor Técnico 06</t>
  </si>
  <si>
    <t>compras06@ejemplo.edu</t>
  </si>
  <si>
    <t>Proveedor Técnico 07</t>
  </si>
  <si>
    <t>compras07@ejemplo.edu</t>
  </si>
  <si>
    <t>Proveedor Técnico 08</t>
  </si>
  <si>
    <t>compras08@ejemplo.edu</t>
  </si>
  <si>
    <t>Proveedor Técnico 09</t>
  </si>
  <si>
    <t>compras09@ejemplo.edu</t>
  </si>
  <si>
    <t>Proveedor Técnico 10</t>
  </si>
  <si>
    <t>compras10@ejemplo.edu</t>
  </si>
  <si>
    <t>Proveedor Técnico 11</t>
  </si>
  <si>
    <t>compras11@ejemplo.edu</t>
  </si>
  <si>
    <t>Proveedor Técnico 12</t>
  </si>
  <si>
    <t>compras12@ejemplo.edu</t>
  </si>
  <si>
    <t>Proveedor Técnico 13</t>
  </si>
  <si>
    <t>compras13@ejemplo.edu</t>
  </si>
  <si>
    <t>Proveedor Técnico 14</t>
  </si>
  <si>
    <t>compras14@ejemplo.edu</t>
  </si>
  <si>
    <t>Proveedor Técnico 15</t>
  </si>
  <si>
    <t>compras15@ejemplo.edu</t>
  </si>
  <si>
    <t>Proveedor Técnico 16</t>
  </si>
  <si>
    <t>compras16@ejemplo.edu</t>
  </si>
  <si>
    <t>Proveedor Técnico 17</t>
  </si>
  <si>
    <t>compras17@ejemplo.edu</t>
  </si>
  <si>
    <t>Proveedor Técnico 18</t>
  </si>
  <si>
    <t>compras18@ejemplo.edu</t>
  </si>
  <si>
    <t>Proveedor Técnico 19</t>
  </si>
  <si>
    <t>compras19@ejemplo.edu</t>
  </si>
  <si>
    <t>Proveedor Técnico 20</t>
  </si>
  <si>
    <t>compras20@ejemplo.edu</t>
  </si>
  <si>
    <t>Ubicación</t>
  </si>
  <si>
    <t>Equipo</t>
  </si>
  <si>
    <t>Unidades actuales</t>
  </si>
  <si>
    <t>Unidades mínimas</t>
  </si>
  <si>
    <t>Última revisión</t>
  </si>
  <si>
    <t>Observaciones</t>
  </si>
  <si>
    <t>Armario 2</t>
  </si>
  <si>
    <t>Correcto</t>
  </si>
  <si>
    <t>2026-02-04</t>
  </si>
  <si>
    <t>Armario 3</t>
  </si>
  <si>
    <t>2026-03-07</t>
  </si>
  <si>
    <t>Armario 4</t>
  </si>
  <si>
    <t>2026-04-10</t>
  </si>
  <si>
    <t>Armario 5</t>
  </si>
  <si>
    <t>2026-05-13</t>
  </si>
  <si>
    <t>Armario 6</t>
  </si>
  <si>
    <t>Revisar</t>
  </si>
  <si>
    <t>2026-01-16</t>
  </si>
  <si>
    <t>Armario 1</t>
  </si>
  <si>
    <t>2026-02-19</t>
  </si>
  <si>
    <t>2026-03-22</t>
  </si>
  <si>
    <t>Rotular</t>
  </si>
  <si>
    <t>2026-04-25</t>
  </si>
  <si>
    <t>2026-05-28</t>
  </si>
  <si>
    <t>2026-01-03</t>
  </si>
  <si>
    <t>2026-02-06</t>
  </si>
  <si>
    <t>2026-03-09</t>
  </si>
  <si>
    <t>2026-04-12</t>
  </si>
  <si>
    <t>2026-05-15</t>
  </si>
  <si>
    <t>2026-01-18</t>
  </si>
  <si>
    <t>2026-02-21</t>
  </si>
  <si>
    <t>2026-03-24</t>
  </si>
  <si>
    <t>2026-04-27</t>
  </si>
  <si>
    <t>2026-05-02</t>
  </si>
  <si>
    <t>2026-01-05</t>
  </si>
  <si>
    <t>2026-02-08</t>
  </si>
  <si>
    <t>2026-03-11</t>
  </si>
  <si>
    <t>2026-04-14</t>
  </si>
  <si>
    <t>2026-05-17</t>
  </si>
  <si>
    <t>2026-01-20</t>
  </si>
  <si>
    <t>2026-02-23</t>
  </si>
  <si>
    <t>2026-03-26</t>
  </si>
  <si>
    <t>2026-04-01</t>
  </si>
  <si>
    <t>2026-05-04</t>
  </si>
  <si>
    <t>2026-01-07</t>
  </si>
  <si>
    <t>2026-02-10</t>
  </si>
  <si>
    <t>2026-03-13</t>
  </si>
  <si>
    <t>2026-04-16</t>
  </si>
  <si>
    <t>2026-05-19</t>
  </si>
  <si>
    <t>2026-01-22</t>
  </si>
  <si>
    <t>2026-02-25</t>
  </si>
  <si>
    <t>2026-03-28</t>
  </si>
  <si>
    <t>2026-04-03</t>
  </si>
  <si>
    <t>2026-05-06</t>
  </si>
  <si>
    <t>2026-01-09</t>
  </si>
  <si>
    <t>2026-02-12</t>
  </si>
  <si>
    <t>2026-03-15</t>
  </si>
  <si>
    <t>2026-04-18</t>
  </si>
  <si>
    <t>2026-05-21</t>
  </si>
  <si>
    <t>2026-01-24</t>
  </si>
  <si>
    <t>2026-02-27</t>
  </si>
  <si>
    <t>2026-03-02</t>
  </si>
  <si>
    <t>2026-04-05</t>
  </si>
  <si>
    <t>2026-05-08</t>
  </si>
  <si>
    <t>2026-01-11</t>
  </si>
  <si>
    <t>2026-02-14</t>
  </si>
  <si>
    <t>2026-03-17</t>
  </si>
  <si>
    <t>2026-04-20</t>
  </si>
  <si>
    <t>2026-05-23</t>
  </si>
  <si>
    <t>2026-01-26</t>
  </si>
  <si>
    <t>2026-02-01</t>
  </si>
  <si>
    <t>2026-03-04</t>
  </si>
  <si>
    <t>2026-04-07</t>
  </si>
  <si>
    <t>2026-05-10</t>
  </si>
  <si>
    <t>2026-01-13</t>
  </si>
  <si>
    <t>2026-02-16</t>
  </si>
  <si>
    <t>2026-03-19</t>
  </si>
  <si>
    <t>2026-04-22</t>
  </si>
  <si>
    <t>2026-05-25</t>
  </si>
  <si>
    <t>2026-01-28</t>
  </si>
  <si>
    <t>2026-02-03</t>
  </si>
  <si>
    <t>2026-03-06</t>
  </si>
  <si>
    <t>2026-04-09</t>
  </si>
  <si>
    <t>2026-05-12</t>
  </si>
  <si>
    <t>2026-01-15</t>
  </si>
  <si>
    <t>2026-02-18</t>
  </si>
  <si>
    <t>2026-03-21</t>
  </si>
  <si>
    <t>2026-04-24</t>
  </si>
  <si>
    <t>2026-05-27</t>
  </si>
  <si>
    <t>2026-01-02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</si>
</sst>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24</v>
      </c>
      <c r="E2">
        <v>28.5</v>
      </c>
      <c r="F2">
        <f t="shared" ref="F2:F41" si="0">D2*E2</f>
        <v>684</v>
      </c>
      <c r="G2">
        <f t="shared" ref="G2:G41" si="1">F2*0.21</f>
        <v>143.63999999999999</v>
      </c>
      <c r="H2">
        <f t="shared" ref="H2:H41" si="2">F2+G2</f>
        <v>827.64</v>
      </c>
      <c r="I2" t="s">
        <v>13</v>
      </c>
      <c r="J2" t="s">
        <v>14</v>
      </c>
    </row>
    <row r="3" spans="1:10" x14ac:dyDescent="0.2">
      <c r="A3" t="s">
        <v>15</v>
      </c>
      <c r="B3" t="s">
        <v>16</v>
      </c>
      <c r="C3" t="s">
        <v>17</v>
      </c>
      <c r="D3">
        <v>60</v>
      </c>
      <c r="E3">
        <v>3.8</v>
      </c>
      <c r="F3">
        <f t="shared" si="0"/>
        <v>228</v>
      </c>
      <c r="G3">
        <f t="shared" si="1"/>
        <v>47.879999999999995</v>
      </c>
      <c r="H3">
        <f t="shared" si="2"/>
        <v>275.88</v>
      </c>
      <c r="I3" t="s">
        <v>18</v>
      </c>
      <c r="J3" t="s">
        <v>19</v>
      </c>
    </row>
    <row r="4" spans="1:10" x14ac:dyDescent="0.2">
      <c r="A4" t="s">
        <v>20</v>
      </c>
      <c r="B4" t="s">
        <v>21</v>
      </c>
      <c r="C4" t="s">
        <v>17</v>
      </c>
      <c r="D4">
        <v>80</v>
      </c>
      <c r="E4">
        <v>2.15</v>
      </c>
      <c r="F4">
        <f t="shared" si="0"/>
        <v>172</v>
      </c>
      <c r="G4">
        <f t="shared" si="1"/>
        <v>36.119999999999997</v>
      </c>
      <c r="H4">
        <f t="shared" si="2"/>
        <v>208.12</v>
      </c>
      <c r="I4" t="s">
        <v>13</v>
      </c>
      <c r="J4" t="s">
        <v>22</v>
      </c>
    </row>
    <row r="5" spans="1:10" x14ac:dyDescent="0.2">
      <c r="A5" t="s">
        <v>23</v>
      </c>
      <c r="B5" t="s">
        <v>24</v>
      </c>
      <c r="C5" t="s">
        <v>17</v>
      </c>
      <c r="D5">
        <v>18</v>
      </c>
      <c r="E5">
        <v>16.899999999999999</v>
      </c>
      <c r="F5">
        <f t="shared" si="0"/>
        <v>304.2</v>
      </c>
      <c r="G5">
        <f t="shared" si="1"/>
        <v>63.881999999999998</v>
      </c>
      <c r="H5">
        <f t="shared" si="2"/>
        <v>368.08199999999999</v>
      </c>
      <c r="I5" t="s">
        <v>13</v>
      </c>
      <c r="J5" t="s">
        <v>25</v>
      </c>
    </row>
    <row r="6" spans="1:10" x14ac:dyDescent="0.2">
      <c r="A6" t="s">
        <v>26</v>
      </c>
      <c r="B6" t="s">
        <v>27</v>
      </c>
      <c r="C6" t="s">
        <v>17</v>
      </c>
      <c r="D6">
        <v>20</v>
      </c>
      <c r="E6">
        <v>12.4</v>
      </c>
      <c r="F6">
        <f t="shared" si="0"/>
        <v>248</v>
      </c>
      <c r="G6">
        <f t="shared" si="1"/>
        <v>52.08</v>
      </c>
      <c r="H6">
        <f t="shared" si="2"/>
        <v>300.08</v>
      </c>
      <c r="I6" t="s">
        <v>18</v>
      </c>
      <c r="J6" t="s">
        <v>28</v>
      </c>
    </row>
    <row r="7" spans="1:10" x14ac:dyDescent="0.2">
      <c r="A7" t="s">
        <v>29</v>
      </c>
      <c r="B7" t="s">
        <v>30</v>
      </c>
      <c r="C7" t="s">
        <v>31</v>
      </c>
      <c r="D7">
        <v>48</v>
      </c>
      <c r="E7">
        <v>9.9</v>
      </c>
      <c r="F7">
        <f t="shared" si="0"/>
        <v>475.20000000000005</v>
      </c>
      <c r="G7">
        <f t="shared" si="1"/>
        <v>99.792000000000002</v>
      </c>
      <c r="H7">
        <f t="shared" si="2"/>
        <v>574.99200000000008</v>
      </c>
      <c r="I7" t="s">
        <v>13</v>
      </c>
      <c r="J7" t="s">
        <v>32</v>
      </c>
    </row>
    <row r="8" spans="1:10" x14ac:dyDescent="0.2">
      <c r="A8" t="s">
        <v>33</v>
      </c>
      <c r="B8" t="s">
        <v>34</v>
      </c>
      <c r="C8" t="s">
        <v>31</v>
      </c>
      <c r="D8">
        <v>32</v>
      </c>
      <c r="E8">
        <v>7.6</v>
      </c>
      <c r="F8">
        <f t="shared" si="0"/>
        <v>243.2</v>
      </c>
      <c r="G8">
        <f t="shared" si="1"/>
        <v>51.071999999999996</v>
      </c>
      <c r="H8">
        <f t="shared" si="2"/>
        <v>294.27199999999999</v>
      </c>
      <c r="I8" t="s">
        <v>13</v>
      </c>
      <c r="J8" t="s">
        <v>35</v>
      </c>
    </row>
    <row r="9" spans="1:10" x14ac:dyDescent="0.2">
      <c r="A9" t="s">
        <v>36</v>
      </c>
      <c r="B9" t="s">
        <v>37</v>
      </c>
      <c r="C9" t="s">
        <v>12</v>
      </c>
      <c r="D9">
        <v>36</v>
      </c>
      <c r="E9">
        <v>6.4</v>
      </c>
      <c r="F9">
        <f t="shared" si="0"/>
        <v>230.4</v>
      </c>
      <c r="G9">
        <f t="shared" si="1"/>
        <v>48.384</v>
      </c>
      <c r="H9">
        <f t="shared" si="2"/>
        <v>278.78399999999999</v>
      </c>
      <c r="I9" t="s">
        <v>18</v>
      </c>
      <c r="J9" t="s">
        <v>38</v>
      </c>
    </row>
    <row r="10" spans="1:10" x14ac:dyDescent="0.2">
      <c r="A10" t="s">
        <v>39</v>
      </c>
      <c r="B10" t="s">
        <v>40</v>
      </c>
      <c r="C10" t="s">
        <v>41</v>
      </c>
      <c r="D10">
        <v>40</v>
      </c>
      <c r="E10">
        <v>11.75</v>
      </c>
      <c r="F10">
        <f t="shared" si="0"/>
        <v>470</v>
      </c>
      <c r="G10">
        <f t="shared" si="1"/>
        <v>98.7</v>
      </c>
      <c r="H10">
        <f t="shared" si="2"/>
        <v>568.70000000000005</v>
      </c>
      <c r="I10" t="s">
        <v>13</v>
      </c>
      <c r="J10" t="s">
        <v>42</v>
      </c>
    </row>
    <row r="11" spans="1:10" x14ac:dyDescent="0.2">
      <c r="A11" t="s">
        <v>43</v>
      </c>
      <c r="B11" t="s">
        <v>44</v>
      </c>
      <c r="C11" t="s">
        <v>41</v>
      </c>
      <c r="D11">
        <v>8</v>
      </c>
      <c r="E11">
        <v>34</v>
      </c>
      <c r="F11">
        <f t="shared" si="0"/>
        <v>272</v>
      </c>
      <c r="G11">
        <f t="shared" si="1"/>
        <v>57.12</v>
      </c>
      <c r="H11">
        <f t="shared" si="2"/>
        <v>329.12</v>
      </c>
      <c r="I11" t="s">
        <v>13</v>
      </c>
      <c r="J11" t="s">
        <v>45</v>
      </c>
    </row>
    <row r="12" spans="1:10" x14ac:dyDescent="0.2">
      <c r="A12" t="s">
        <v>46</v>
      </c>
      <c r="B12" t="s">
        <v>47</v>
      </c>
      <c r="C12" t="s">
        <v>48</v>
      </c>
      <c r="D12">
        <v>20</v>
      </c>
      <c r="E12">
        <v>18.899999999999999</v>
      </c>
      <c r="F12">
        <f t="shared" si="0"/>
        <v>378</v>
      </c>
      <c r="G12">
        <f t="shared" si="1"/>
        <v>79.38</v>
      </c>
      <c r="H12">
        <f t="shared" si="2"/>
        <v>457.38</v>
      </c>
      <c r="I12" t="s">
        <v>18</v>
      </c>
      <c r="J12" t="s">
        <v>49</v>
      </c>
    </row>
    <row r="13" spans="1:10" x14ac:dyDescent="0.2">
      <c r="A13" t="s">
        <v>50</v>
      </c>
      <c r="B13" t="s">
        <v>51</v>
      </c>
      <c r="C13" t="s">
        <v>48</v>
      </c>
      <c r="D13">
        <v>10</v>
      </c>
      <c r="E13">
        <v>22.5</v>
      </c>
      <c r="F13">
        <f t="shared" si="0"/>
        <v>225</v>
      </c>
      <c r="G13">
        <f t="shared" si="1"/>
        <v>47.25</v>
      </c>
      <c r="H13">
        <f t="shared" si="2"/>
        <v>272.25</v>
      </c>
      <c r="I13" t="s">
        <v>13</v>
      </c>
      <c r="J13" t="s">
        <v>52</v>
      </c>
    </row>
    <row r="14" spans="1:10" x14ac:dyDescent="0.2">
      <c r="A14" t="s">
        <v>53</v>
      </c>
      <c r="B14" t="s">
        <v>54</v>
      </c>
      <c r="C14" t="s">
        <v>48</v>
      </c>
      <c r="D14">
        <v>30</v>
      </c>
      <c r="E14">
        <v>1.8</v>
      </c>
      <c r="F14">
        <f t="shared" si="0"/>
        <v>54</v>
      </c>
      <c r="G14">
        <f t="shared" si="1"/>
        <v>11.34</v>
      </c>
      <c r="H14">
        <f t="shared" si="2"/>
        <v>65.34</v>
      </c>
      <c r="I14" t="s">
        <v>13</v>
      </c>
      <c r="J14" t="s">
        <v>55</v>
      </c>
    </row>
    <row r="15" spans="1:10" x14ac:dyDescent="0.2">
      <c r="A15" t="s">
        <v>56</v>
      </c>
      <c r="B15" t="s">
        <v>57</v>
      </c>
      <c r="C15" t="s">
        <v>58</v>
      </c>
      <c r="D15">
        <v>50</v>
      </c>
      <c r="E15">
        <v>14</v>
      </c>
      <c r="F15">
        <f t="shared" si="0"/>
        <v>700</v>
      </c>
      <c r="G15">
        <f t="shared" si="1"/>
        <v>147</v>
      </c>
      <c r="H15">
        <f t="shared" si="2"/>
        <v>847</v>
      </c>
      <c r="I15" t="s">
        <v>18</v>
      </c>
      <c r="J15" t="s">
        <v>59</v>
      </c>
    </row>
    <row r="16" spans="1:10" x14ac:dyDescent="0.2">
      <c r="A16" t="s">
        <v>60</v>
      </c>
      <c r="B16" t="s">
        <v>61</v>
      </c>
      <c r="C16" t="s">
        <v>62</v>
      </c>
      <c r="D16">
        <v>8</v>
      </c>
      <c r="E16">
        <v>96</v>
      </c>
      <c r="F16">
        <f t="shared" si="0"/>
        <v>768</v>
      </c>
      <c r="G16">
        <f t="shared" si="1"/>
        <v>161.28</v>
      </c>
      <c r="H16">
        <f t="shared" si="2"/>
        <v>929.28</v>
      </c>
      <c r="I16" t="s">
        <v>13</v>
      </c>
      <c r="J16" t="s">
        <v>63</v>
      </c>
    </row>
    <row r="17" spans="1:10" x14ac:dyDescent="0.2">
      <c r="A17" t="s">
        <v>64</v>
      </c>
      <c r="B17" t="s">
        <v>65</v>
      </c>
      <c r="C17" t="s">
        <v>62</v>
      </c>
      <c r="D17">
        <v>3</v>
      </c>
      <c r="E17">
        <v>145</v>
      </c>
      <c r="F17">
        <f t="shared" si="0"/>
        <v>435</v>
      </c>
      <c r="G17">
        <f t="shared" si="1"/>
        <v>91.35</v>
      </c>
      <c r="H17">
        <f t="shared" si="2"/>
        <v>526.35</v>
      </c>
      <c r="I17" t="s">
        <v>13</v>
      </c>
      <c r="J17" t="s">
        <v>66</v>
      </c>
    </row>
    <row r="18" spans="1:10" x14ac:dyDescent="0.2">
      <c r="A18" t="s">
        <v>67</v>
      </c>
      <c r="B18" t="s">
        <v>68</v>
      </c>
      <c r="C18" t="s">
        <v>69</v>
      </c>
      <c r="D18">
        <v>12</v>
      </c>
      <c r="E18">
        <v>89</v>
      </c>
      <c r="F18">
        <f t="shared" si="0"/>
        <v>1068</v>
      </c>
      <c r="G18">
        <f t="shared" si="1"/>
        <v>224.28</v>
      </c>
      <c r="H18">
        <f t="shared" si="2"/>
        <v>1292.28</v>
      </c>
      <c r="I18" t="s">
        <v>18</v>
      </c>
      <c r="J18" t="s">
        <v>70</v>
      </c>
    </row>
    <row r="19" spans="1:10" x14ac:dyDescent="0.2">
      <c r="A19" t="s">
        <v>71</v>
      </c>
      <c r="B19" t="s">
        <v>72</v>
      </c>
      <c r="C19" t="s">
        <v>69</v>
      </c>
      <c r="D19">
        <v>24</v>
      </c>
      <c r="E19">
        <v>8.9</v>
      </c>
      <c r="F19">
        <f t="shared" si="0"/>
        <v>213.60000000000002</v>
      </c>
      <c r="G19">
        <f t="shared" si="1"/>
        <v>44.856000000000002</v>
      </c>
      <c r="H19">
        <f t="shared" si="2"/>
        <v>258.45600000000002</v>
      </c>
      <c r="I19" t="s">
        <v>13</v>
      </c>
      <c r="J19" t="s">
        <v>73</v>
      </c>
    </row>
    <row r="20" spans="1:10" x14ac:dyDescent="0.2">
      <c r="A20" t="s">
        <v>74</v>
      </c>
      <c r="B20" t="s">
        <v>75</v>
      </c>
      <c r="C20" t="s">
        <v>76</v>
      </c>
      <c r="D20">
        <v>20</v>
      </c>
      <c r="E20">
        <v>22.5</v>
      </c>
      <c r="F20">
        <f t="shared" si="0"/>
        <v>450</v>
      </c>
      <c r="G20">
        <f t="shared" si="1"/>
        <v>94.5</v>
      </c>
      <c r="H20">
        <f t="shared" si="2"/>
        <v>544.5</v>
      </c>
      <c r="I20" t="s">
        <v>13</v>
      </c>
      <c r="J20" t="s">
        <v>77</v>
      </c>
    </row>
    <row r="21" spans="1:10" x14ac:dyDescent="0.2">
      <c r="A21" t="s">
        <v>78</v>
      </c>
      <c r="B21" t="s">
        <v>79</v>
      </c>
      <c r="C21" t="s">
        <v>76</v>
      </c>
      <c r="D21">
        <v>4</v>
      </c>
      <c r="E21">
        <v>185</v>
      </c>
      <c r="F21">
        <f t="shared" si="0"/>
        <v>740</v>
      </c>
      <c r="G21">
        <f t="shared" si="1"/>
        <v>155.4</v>
      </c>
      <c r="H21">
        <f t="shared" si="2"/>
        <v>895.4</v>
      </c>
      <c r="I21" t="s">
        <v>18</v>
      </c>
      <c r="J21" t="s">
        <v>80</v>
      </c>
    </row>
    <row r="22" spans="1:10" x14ac:dyDescent="0.2">
      <c r="A22" t="s">
        <v>81</v>
      </c>
      <c r="B22" t="s">
        <v>82</v>
      </c>
      <c r="C22" t="s">
        <v>76</v>
      </c>
      <c r="D22">
        <v>6</v>
      </c>
      <c r="E22">
        <v>120</v>
      </c>
      <c r="F22">
        <f t="shared" si="0"/>
        <v>720</v>
      </c>
      <c r="G22">
        <f t="shared" si="1"/>
        <v>151.19999999999999</v>
      </c>
      <c r="H22">
        <f t="shared" si="2"/>
        <v>871.2</v>
      </c>
      <c r="I22" t="s">
        <v>13</v>
      </c>
      <c r="J22" t="s">
        <v>83</v>
      </c>
    </row>
    <row r="23" spans="1:10" x14ac:dyDescent="0.2">
      <c r="A23" t="s">
        <v>84</v>
      </c>
      <c r="B23" t="s">
        <v>85</v>
      </c>
      <c r="C23" t="s">
        <v>86</v>
      </c>
      <c r="D23">
        <v>30</v>
      </c>
      <c r="E23">
        <v>4.7</v>
      </c>
      <c r="F23">
        <f t="shared" si="0"/>
        <v>141</v>
      </c>
      <c r="G23">
        <f t="shared" si="1"/>
        <v>29.61</v>
      </c>
      <c r="H23">
        <f t="shared" si="2"/>
        <v>170.61</v>
      </c>
      <c r="I23" t="s">
        <v>13</v>
      </c>
      <c r="J23" t="s">
        <v>87</v>
      </c>
    </row>
    <row r="24" spans="1:10" x14ac:dyDescent="0.2">
      <c r="A24" t="s">
        <v>88</v>
      </c>
      <c r="B24" t="s">
        <v>89</v>
      </c>
      <c r="C24" t="s">
        <v>86</v>
      </c>
      <c r="D24">
        <v>50</v>
      </c>
      <c r="E24">
        <v>1.2</v>
      </c>
      <c r="F24">
        <f t="shared" si="0"/>
        <v>60</v>
      </c>
      <c r="G24">
        <f t="shared" si="1"/>
        <v>12.6</v>
      </c>
      <c r="H24">
        <f t="shared" si="2"/>
        <v>72.599999999999994</v>
      </c>
      <c r="I24" t="s">
        <v>18</v>
      </c>
      <c r="J24" t="s">
        <v>90</v>
      </c>
    </row>
    <row r="25" spans="1:10" x14ac:dyDescent="0.2">
      <c r="A25" t="s">
        <v>91</v>
      </c>
      <c r="B25" t="s">
        <v>92</v>
      </c>
      <c r="C25" t="s">
        <v>86</v>
      </c>
      <c r="D25">
        <v>2</v>
      </c>
      <c r="E25">
        <v>58</v>
      </c>
      <c r="F25">
        <f t="shared" si="0"/>
        <v>116</v>
      </c>
      <c r="G25">
        <f t="shared" si="1"/>
        <v>24.36</v>
      </c>
      <c r="H25">
        <f t="shared" si="2"/>
        <v>140.36000000000001</v>
      </c>
      <c r="I25" t="s">
        <v>13</v>
      </c>
      <c r="J25" t="s">
        <v>93</v>
      </c>
    </row>
    <row r="26" spans="1:10" x14ac:dyDescent="0.2">
      <c r="A26" t="s">
        <v>94</v>
      </c>
      <c r="B26" t="s">
        <v>95</v>
      </c>
      <c r="C26" t="s">
        <v>96</v>
      </c>
      <c r="D26">
        <v>4</v>
      </c>
      <c r="E26">
        <v>79</v>
      </c>
      <c r="F26">
        <f t="shared" si="0"/>
        <v>316</v>
      </c>
      <c r="G26">
        <f t="shared" si="1"/>
        <v>66.36</v>
      </c>
      <c r="H26">
        <f t="shared" si="2"/>
        <v>382.36</v>
      </c>
      <c r="I26" t="s">
        <v>13</v>
      </c>
      <c r="J26" t="s">
        <v>97</v>
      </c>
    </row>
    <row r="27" spans="1:10" x14ac:dyDescent="0.2">
      <c r="A27" t="s">
        <v>98</v>
      </c>
      <c r="B27" t="s">
        <v>99</v>
      </c>
      <c r="C27" t="s">
        <v>96</v>
      </c>
      <c r="D27">
        <v>30</v>
      </c>
      <c r="E27">
        <v>6.5</v>
      </c>
      <c r="F27">
        <f t="shared" si="0"/>
        <v>195</v>
      </c>
      <c r="G27">
        <f t="shared" si="1"/>
        <v>40.949999999999996</v>
      </c>
      <c r="H27">
        <f t="shared" si="2"/>
        <v>235.95</v>
      </c>
      <c r="I27" t="s">
        <v>18</v>
      </c>
      <c r="J27" t="s">
        <v>100</v>
      </c>
    </row>
    <row r="28" spans="1:10" x14ac:dyDescent="0.2">
      <c r="A28" t="s">
        <v>101</v>
      </c>
      <c r="B28" t="s">
        <v>102</v>
      </c>
      <c r="C28" t="s">
        <v>103</v>
      </c>
      <c r="D28">
        <v>40</v>
      </c>
      <c r="E28">
        <v>3.1</v>
      </c>
      <c r="F28">
        <f t="shared" si="0"/>
        <v>124</v>
      </c>
      <c r="G28">
        <f t="shared" si="1"/>
        <v>26.04</v>
      </c>
      <c r="H28">
        <f t="shared" si="2"/>
        <v>150.04</v>
      </c>
      <c r="I28" t="s">
        <v>13</v>
      </c>
      <c r="J28" t="s">
        <v>104</v>
      </c>
    </row>
    <row r="29" spans="1:10" x14ac:dyDescent="0.2">
      <c r="A29" t="s">
        <v>105</v>
      </c>
      <c r="B29" t="s">
        <v>106</v>
      </c>
      <c r="C29" t="s">
        <v>103</v>
      </c>
      <c r="D29">
        <v>12</v>
      </c>
      <c r="E29">
        <v>8.4</v>
      </c>
      <c r="F29">
        <f t="shared" si="0"/>
        <v>100.80000000000001</v>
      </c>
      <c r="G29">
        <f t="shared" si="1"/>
        <v>21.168000000000003</v>
      </c>
      <c r="H29">
        <f t="shared" si="2"/>
        <v>121.96800000000002</v>
      </c>
      <c r="I29" t="s">
        <v>13</v>
      </c>
      <c r="J29" t="s">
        <v>107</v>
      </c>
    </row>
    <row r="30" spans="1:10" x14ac:dyDescent="0.2">
      <c r="A30" t="s">
        <v>108</v>
      </c>
      <c r="B30" t="s">
        <v>109</v>
      </c>
      <c r="C30" t="s">
        <v>103</v>
      </c>
      <c r="D30">
        <v>20</v>
      </c>
      <c r="E30">
        <v>2.9</v>
      </c>
      <c r="F30">
        <f t="shared" si="0"/>
        <v>58</v>
      </c>
      <c r="G30">
        <f t="shared" si="1"/>
        <v>12.18</v>
      </c>
      <c r="H30">
        <f t="shared" si="2"/>
        <v>70.180000000000007</v>
      </c>
      <c r="I30" t="s">
        <v>18</v>
      </c>
      <c r="J30" t="s">
        <v>110</v>
      </c>
    </row>
    <row r="31" spans="1:10" x14ac:dyDescent="0.2">
      <c r="A31" t="s">
        <v>111</v>
      </c>
      <c r="B31" t="s">
        <v>112</v>
      </c>
      <c r="C31" t="s">
        <v>103</v>
      </c>
      <c r="D31">
        <v>25</v>
      </c>
      <c r="E31">
        <v>4.25</v>
      </c>
      <c r="F31">
        <f t="shared" si="0"/>
        <v>106.25</v>
      </c>
      <c r="G31">
        <f t="shared" si="1"/>
        <v>22.3125</v>
      </c>
      <c r="H31">
        <f t="shared" si="2"/>
        <v>128.5625</v>
      </c>
      <c r="I31" t="s">
        <v>13</v>
      </c>
      <c r="J31" t="s">
        <v>113</v>
      </c>
    </row>
    <row r="32" spans="1:10" x14ac:dyDescent="0.2">
      <c r="A32" t="s">
        <v>114</v>
      </c>
      <c r="B32" t="s">
        <v>115</v>
      </c>
      <c r="C32" t="s">
        <v>103</v>
      </c>
      <c r="D32">
        <v>30</v>
      </c>
      <c r="E32">
        <v>2.7</v>
      </c>
      <c r="F32">
        <f t="shared" si="0"/>
        <v>81</v>
      </c>
      <c r="G32">
        <f t="shared" si="1"/>
        <v>17.009999999999998</v>
      </c>
      <c r="H32">
        <f t="shared" si="2"/>
        <v>98.009999999999991</v>
      </c>
      <c r="I32" t="s">
        <v>13</v>
      </c>
      <c r="J32" t="s">
        <v>116</v>
      </c>
    </row>
    <row r="33" spans="1:10" x14ac:dyDescent="0.2">
      <c r="A33" t="s">
        <v>117</v>
      </c>
      <c r="B33" t="s">
        <v>118</v>
      </c>
      <c r="C33" t="s">
        <v>103</v>
      </c>
      <c r="D33">
        <v>25</v>
      </c>
      <c r="E33">
        <v>5.9</v>
      </c>
      <c r="F33">
        <f t="shared" si="0"/>
        <v>147.5</v>
      </c>
      <c r="G33">
        <f t="shared" si="1"/>
        <v>30.974999999999998</v>
      </c>
      <c r="H33">
        <f t="shared" si="2"/>
        <v>178.47499999999999</v>
      </c>
      <c r="I33" t="s">
        <v>18</v>
      </c>
      <c r="J33" t="s">
        <v>119</v>
      </c>
    </row>
    <row r="34" spans="1:10" x14ac:dyDescent="0.2">
      <c r="A34" t="s">
        <v>120</v>
      </c>
      <c r="B34" t="s">
        <v>121</v>
      </c>
      <c r="C34" t="s">
        <v>31</v>
      </c>
      <c r="D34">
        <v>60</v>
      </c>
      <c r="E34">
        <v>2.8</v>
      </c>
      <c r="F34">
        <f t="shared" si="0"/>
        <v>168</v>
      </c>
      <c r="G34">
        <f t="shared" si="1"/>
        <v>35.28</v>
      </c>
      <c r="H34">
        <f t="shared" si="2"/>
        <v>203.28</v>
      </c>
      <c r="I34" t="s">
        <v>13</v>
      </c>
      <c r="J34" t="s">
        <v>122</v>
      </c>
    </row>
    <row r="35" spans="1:10" x14ac:dyDescent="0.2">
      <c r="A35" t="s">
        <v>123</v>
      </c>
      <c r="B35" t="s">
        <v>124</v>
      </c>
      <c r="C35" t="s">
        <v>48</v>
      </c>
      <c r="D35">
        <v>40</v>
      </c>
      <c r="E35">
        <v>1.35</v>
      </c>
      <c r="F35">
        <f t="shared" si="0"/>
        <v>54</v>
      </c>
      <c r="G35">
        <f t="shared" si="1"/>
        <v>11.34</v>
      </c>
      <c r="H35">
        <f t="shared" si="2"/>
        <v>65.34</v>
      </c>
      <c r="I35" t="s">
        <v>13</v>
      </c>
      <c r="J35" t="s">
        <v>125</v>
      </c>
    </row>
    <row r="36" spans="1:10" x14ac:dyDescent="0.2">
      <c r="A36" t="s">
        <v>126</v>
      </c>
      <c r="B36" t="s">
        <v>127</v>
      </c>
      <c r="C36" t="s">
        <v>12</v>
      </c>
      <c r="D36">
        <v>20</v>
      </c>
      <c r="E36">
        <v>4.5</v>
      </c>
      <c r="F36">
        <f t="shared" si="0"/>
        <v>90</v>
      </c>
      <c r="G36">
        <f t="shared" si="1"/>
        <v>18.899999999999999</v>
      </c>
      <c r="H36">
        <f t="shared" si="2"/>
        <v>108.9</v>
      </c>
      <c r="I36" t="s">
        <v>18</v>
      </c>
      <c r="J36" t="s">
        <v>128</v>
      </c>
    </row>
    <row r="37" spans="1:10" x14ac:dyDescent="0.2">
      <c r="A37" t="s">
        <v>129</v>
      </c>
      <c r="B37" t="s">
        <v>130</v>
      </c>
      <c r="C37" t="s">
        <v>62</v>
      </c>
      <c r="D37">
        <v>12</v>
      </c>
      <c r="E37">
        <v>13.5</v>
      </c>
      <c r="F37">
        <f t="shared" si="0"/>
        <v>162</v>
      </c>
      <c r="G37">
        <f t="shared" si="1"/>
        <v>34.019999999999996</v>
      </c>
      <c r="H37">
        <f t="shared" si="2"/>
        <v>196.01999999999998</v>
      </c>
      <c r="I37" t="s">
        <v>13</v>
      </c>
      <c r="J37" t="s">
        <v>131</v>
      </c>
    </row>
    <row r="38" spans="1:10" x14ac:dyDescent="0.2">
      <c r="A38" t="s">
        <v>132</v>
      </c>
      <c r="B38" t="s">
        <v>133</v>
      </c>
      <c r="C38" t="s">
        <v>62</v>
      </c>
      <c r="D38">
        <v>2</v>
      </c>
      <c r="E38">
        <v>210</v>
      </c>
      <c r="F38">
        <f t="shared" si="0"/>
        <v>420</v>
      </c>
      <c r="G38">
        <f t="shared" si="1"/>
        <v>88.2</v>
      </c>
      <c r="H38">
        <f t="shared" si="2"/>
        <v>508.2</v>
      </c>
      <c r="I38" t="s">
        <v>13</v>
      </c>
      <c r="J38" t="s">
        <v>134</v>
      </c>
    </row>
    <row r="39" spans="1:10" x14ac:dyDescent="0.2">
      <c r="A39" t="s">
        <v>135</v>
      </c>
      <c r="B39" t="s">
        <v>136</v>
      </c>
      <c r="C39" t="s">
        <v>17</v>
      </c>
      <c r="D39">
        <v>16</v>
      </c>
      <c r="E39">
        <v>18</v>
      </c>
      <c r="F39">
        <f t="shared" si="0"/>
        <v>288</v>
      </c>
      <c r="G39">
        <f t="shared" si="1"/>
        <v>60.48</v>
      </c>
      <c r="H39">
        <f t="shared" si="2"/>
        <v>348.48</v>
      </c>
      <c r="I39" t="s">
        <v>18</v>
      </c>
      <c r="J39" t="s">
        <v>137</v>
      </c>
    </row>
    <row r="40" spans="1:10" x14ac:dyDescent="0.2">
      <c r="A40" t="s">
        <v>138</v>
      </c>
      <c r="B40" t="s">
        <v>139</v>
      </c>
      <c r="C40" t="s">
        <v>12</v>
      </c>
      <c r="D40">
        <v>16</v>
      </c>
      <c r="E40">
        <v>5.6</v>
      </c>
      <c r="F40">
        <f t="shared" si="0"/>
        <v>89.6</v>
      </c>
      <c r="G40">
        <f t="shared" si="1"/>
        <v>18.815999999999999</v>
      </c>
      <c r="H40">
        <f t="shared" si="2"/>
        <v>108.416</v>
      </c>
      <c r="I40" t="s">
        <v>13</v>
      </c>
      <c r="J40" t="s">
        <v>140</v>
      </c>
    </row>
    <row r="41" spans="1:10" x14ac:dyDescent="0.2">
      <c r="A41" t="s">
        <v>141</v>
      </c>
      <c r="B41" t="s">
        <v>142</v>
      </c>
      <c r="C41" t="s">
        <v>86</v>
      </c>
      <c r="D41">
        <v>6</v>
      </c>
      <c r="E41">
        <v>19</v>
      </c>
      <c r="F41">
        <f t="shared" si="0"/>
        <v>114</v>
      </c>
      <c r="G41">
        <f t="shared" si="1"/>
        <v>23.939999999999998</v>
      </c>
      <c r="H41">
        <f t="shared" si="2"/>
        <v>137.94</v>
      </c>
      <c r="I41" t="s">
        <v>13</v>
      </c>
      <c r="J41" t="s">
        <v>143</v>
      </c>
    </row>
    <row r="42" spans="1:10" x14ac:dyDescent="0.2">
      <c r="A42" t="s">
        <v>144</v>
      </c>
      <c r="B42" t="s">
        <v>145</v>
      </c>
      <c r="C42" t="s">
        <v>145</v>
      </c>
      <c r="D42" t="s">
        <v>145</v>
      </c>
      <c r="E42" t="s">
        <v>145</v>
      </c>
      <c r="F42">
        <f>SUM(F2:F41)</f>
        <v>11909.75</v>
      </c>
      <c r="G42">
        <f>SUM(G2:G41)</f>
        <v>2501.0474999999997</v>
      </c>
      <c r="H42">
        <f>SUM(H2:H41)</f>
        <v>14410.797500000008</v>
      </c>
      <c r="I42" t="s">
        <v>145</v>
      </c>
      <c r="J42" t="s">
        <v>145</v>
      </c>
    </row>
  </sheetData>
  <autoFilter ref="A1:J4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5" x14ac:dyDescent="0.2">
      <c r="A1" t="s">
        <v>2</v>
      </c>
      <c r="B1" t="s">
        <v>146</v>
      </c>
      <c r="C1" t="s">
        <v>5</v>
      </c>
      <c r="D1" t="s">
        <v>147</v>
      </c>
      <c r="E1" t="s">
        <v>7</v>
      </c>
    </row>
    <row r="2" spans="1:5" x14ac:dyDescent="0.2">
      <c r="A2" t="s">
        <v>12</v>
      </c>
      <c r="B2">
        <f>COUNTIF(Presupuesto!C2:C41,A2)</f>
        <v>4</v>
      </c>
      <c r="C2">
        <f>SUMIF(Presupuesto!C2:C41,A2,Presupuesto!F2:F41)</f>
        <v>1094</v>
      </c>
      <c r="D2">
        <f>SUMIF(Presupuesto!C2:C41,A2,Presupuesto!G2:G41)</f>
        <v>229.74</v>
      </c>
      <c r="E2">
        <f>SUMIF(Presupuesto!C2:C41,A2,Presupuesto!H2:H41)</f>
        <v>1323.74</v>
      </c>
    </row>
    <row r="3" spans="1:5" x14ac:dyDescent="0.2">
      <c r="A3" t="s">
        <v>17</v>
      </c>
      <c r="B3">
        <f>COUNTIF(Presupuesto!C2:C41,A3)</f>
        <v>5</v>
      </c>
      <c r="C3">
        <f>SUMIF(Presupuesto!C2:C41,A3,Presupuesto!F2:F41)</f>
        <v>1240.2</v>
      </c>
      <c r="D3">
        <f>SUMIF(Presupuesto!C2:C41,A3,Presupuesto!G2:G41)</f>
        <v>260.44200000000001</v>
      </c>
      <c r="E3">
        <f>SUMIF(Presupuesto!C2:C41,A3,Presupuesto!H2:H41)</f>
        <v>1500.6420000000001</v>
      </c>
    </row>
    <row r="4" spans="1:5" x14ac:dyDescent="0.2">
      <c r="A4" t="s">
        <v>31</v>
      </c>
      <c r="B4">
        <f>COUNTIF(Presupuesto!C2:C41,A4)</f>
        <v>3</v>
      </c>
      <c r="C4">
        <f>SUMIF(Presupuesto!C2:C41,A4,Presupuesto!F2:F41)</f>
        <v>886.40000000000009</v>
      </c>
      <c r="D4">
        <f>SUMIF(Presupuesto!C2:C41,A4,Presupuesto!G2:G41)</f>
        <v>186.14400000000001</v>
      </c>
      <c r="E4">
        <f>SUMIF(Presupuesto!C2:C41,A4,Presupuesto!H2:H41)</f>
        <v>1072.5440000000001</v>
      </c>
    </row>
    <row r="5" spans="1:5" x14ac:dyDescent="0.2">
      <c r="A5" t="s">
        <v>41</v>
      </c>
      <c r="B5">
        <f>COUNTIF(Presupuesto!C2:C41,A5)</f>
        <v>2</v>
      </c>
      <c r="C5">
        <f>SUMIF(Presupuesto!C2:C41,A5,Presupuesto!F2:F41)</f>
        <v>742</v>
      </c>
      <c r="D5">
        <f>SUMIF(Presupuesto!C2:C41,A5,Presupuesto!G2:G41)</f>
        <v>155.82</v>
      </c>
      <c r="E5">
        <f>SUMIF(Presupuesto!C2:C41,A5,Presupuesto!H2:H41)</f>
        <v>897.82</v>
      </c>
    </row>
    <row r="6" spans="1:5" x14ac:dyDescent="0.2">
      <c r="A6" t="s">
        <v>48</v>
      </c>
      <c r="B6">
        <f>COUNTIF(Presupuesto!C2:C41,A6)</f>
        <v>4</v>
      </c>
      <c r="C6">
        <f>SUMIF(Presupuesto!C2:C41,A6,Presupuesto!F2:F41)</f>
        <v>711</v>
      </c>
      <c r="D6">
        <f>SUMIF(Presupuesto!C2:C41,A6,Presupuesto!G2:G41)</f>
        <v>149.31</v>
      </c>
      <c r="E6">
        <f>SUMIF(Presupuesto!C2:C41,A6,Presupuesto!H2:H41)</f>
        <v>860.31000000000006</v>
      </c>
    </row>
    <row r="7" spans="1:5" x14ac:dyDescent="0.2">
      <c r="A7" t="s">
        <v>58</v>
      </c>
      <c r="B7">
        <f>COUNTIF(Presupuesto!C2:C41,A7)</f>
        <v>1</v>
      </c>
      <c r="C7">
        <f>SUMIF(Presupuesto!C2:C41,A7,Presupuesto!F2:F41)</f>
        <v>700</v>
      </c>
      <c r="D7">
        <f>SUMIF(Presupuesto!C2:C41,A7,Presupuesto!G2:G41)</f>
        <v>147</v>
      </c>
      <c r="E7">
        <f>SUMIF(Presupuesto!C2:C41,A7,Presupuesto!H2:H41)</f>
        <v>847</v>
      </c>
    </row>
    <row r="8" spans="1:5" x14ac:dyDescent="0.2">
      <c r="A8" t="s">
        <v>62</v>
      </c>
      <c r="B8">
        <f>COUNTIF(Presupuesto!C2:C41,A8)</f>
        <v>4</v>
      </c>
      <c r="C8">
        <f>SUMIF(Presupuesto!C2:C41,A8,Presupuesto!F2:F41)</f>
        <v>1785</v>
      </c>
      <c r="D8">
        <f>SUMIF(Presupuesto!C2:C41,A8,Presupuesto!G2:G41)</f>
        <v>374.84999999999997</v>
      </c>
      <c r="E8">
        <f>SUMIF(Presupuesto!C2:C41,A8,Presupuesto!H2:H41)</f>
        <v>2159.85</v>
      </c>
    </row>
    <row r="9" spans="1:5" x14ac:dyDescent="0.2">
      <c r="A9" t="s">
        <v>69</v>
      </c>
      <c r="B9">
        <f>COUNTIF(Presupuesto!C2:C41,A9)</f>
        <v>2</v>
      </c>
      <c r="C9">
        <f>SUMIF(Presupuesto!C2:C41,A9,Presupuesto!F2:F41)</f>
        <v>1281.5999999999999</v>
      </c>
      <c r="D9">
        <f>SUMIF(Presupuesto!C2:C41,A9,Presupuesto!G2:G41)</f>
        <v>269.13600000000002</v>
      </c>
      <c r="E9">
        <f>SUMIF(Presupuesto!C2:C41,A9,Presupuesto!H2:H41)</f>
        <v>1550.7359999999999</v>
      </c>
    </row>
    <row r="10" spans="1:5" x14ac:dyDescent="0.2">
      <c r="A10" t="s">
        <v>76</v>
      </c>
      <c r="B10">
        <f>COUNTIF(Presupuesto!C2:C41,A10)</f>
        <v>3</v>
      </c>
      <c r="C10">
        <f>SUMIF(Presupuesto!C2:C41,A10,Presupuesto!F2:F41)</f>
        <v>1910</v>
      </c>
      <c r="D10">
        <f>SUMIF(Presupuesto!C2:C41,A10,Presupuesto!G2:G41)</f>
        <v>401.1</v>
      </c>
      <c r="E10">
        <f>SUMIF(Presupuesto!C2:C41,A10,Presupuesto!H2:H41)</f>
        <v>2311.1000000000004</v>
      </c>
    </row>
    <row r="11" spans="1:5" x14ac:dyDescent="0.2">
      <c r="A11" t="s">
        <v>86</v>
      </c>
      <c r="B11">
        <f>COUNTIF(Presupuesto!C2:C41,A11)</f>
        <v>4</v>
      </c>
      <c r="C11">
        <f>SUMIF(Presupuesto!C2:C41,A11,Presupuesto!F2:F41)</f>
        <v>431</v>
      </c>
      <c r="D11">
        <f>SUMIF(Presupuesto!C2:C41,A11,Presupuesto!G2:G41)</f>
        <v>90.509999999999991</v>
      </c>
      <c r="E11">
        <f>SUMIF(Presupuesto!C2:C41,A11,Presupuesto!H2:H41)</f>
        <v>521.51</v>
      </c>
    </row>
    <row r="12" spans="1:5" x14ac:dyDescent="0.2">
      <c r="A12" t="s">
        <v>96</v>
      </c>
      <c r="B12">
        <f>COUNTIF(Presupuesto!C2:C41,A12)</f>
        <v>2</v>
      </c>
      <c r="C12">
        <f>SUMIF(Presupuesto!C2:C41,A12,Presupuesto!F2:F41)</f>
        <v>511</v>
      </c>
      <c r="D12">
        <f>SUMIF(Presupuesto!C2:C41,A12,Presupuesto!G2:G41)</f>
        <v>107.31</v>
      </c>
      <c r="E12">
        <f>SUMIF(Presupuesto!C2:C41,A12,Presupuesto!H2:H41)</f>
        <v>618.30999999999995</v>
      </c>
    </row>
    <row r="13" spans="1:5" x14ac:dyDescent="0.2">
      <c r="A13" t="s">
        <v>103</v>
      </c>
      <c r="B13">
        <f>COUNTIF(Presupuesto!C2:C41,A13)</f>
        <v>6</v>
      </c>
      <c r="C13">
        <f>SUMIF(Presupuesto!C2:C41,A13,Presupuesto!F2:F41)</f>
        <v>617.54999999999995</v>
      </c>
      <c r="D13">
        <f>SUMIF(Presupuesto!C2:C41,A13,Presupuesto!G2:G41)</f>
        <v>129.68549999999999</v>
      </c>
      <c r="E13">
        <f>SUMIF(Presupuesto!C2:C41,A13,Presupuesto!H2:H41)</f>
        <v>747.23550000000012</v>
      </c>
    </row>
    <row r="14" spans="1:5" x14ac:dyDescent="0.2">
      <c r="A14" t="s">
        <v>144</v>
      </c>
      <c r="B14">
        <f>SUM(B2:B13)</f>
        <v>40</v>
      </c>
      <c r="C14">
        <f>SUM(C2:C13)</f>
        <v>11909.75</v>
      </c>
      <c r="D14">
        <f>SUM(D2:D13)</f>
        <v>2501.0474999999997</v>
      </c>
      <c r="E14">
        <f>SUM(E2:E13)</f>
        <v>14410.797500000001</v>
      </c>
    </row>
  </sheetData>
  <autoFilter ref="A1:E1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6" x14ac:dyDescent="0.2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</row>
    <row r="2" spans="1:6" x14ac:dyDescent="0.2">
      <c r="A2" t="s">
        <v>154</v>
      </c>
      <c r="B2" t="s">
        <v>155</v>
      </c>
      <c r="C2">
        <v>1850</v>
      </c>
      <c r="D2" t="s">
        <v>156</v>
      </c>
      <c r="E2" t="s">
        <v>157</v>
      </c>
      <c r="F2" t="s">
        <v>158</v>
      </c>
    </row>
    <row r="3" spans="1:6" x14ac:dyDescent="0.2">
      <c r="A3" t="s">
        <v>154</v>
      </c>
      <c r="B3" t="s">
        <v>159</v>
      </c>
      <c r="C3">
        <v>420</v>
      </c>
      <c r="D3" t="s">
        <v>160</v>
      </c>
      <c r="E3" t="s">
        <v>157</v>
      </c>
      <c r="F3" t="s">
        <v>158</v>
      </c>
    </row>
    <row r="4" spans="1:6" x14ac:dyDescent="0.2">
      <c r="A4" t="s">
        <v>161</v>
      </c>
      <c r="B4" t="s">
        <v>162</v>
      </c>
      <c r="C4">
        <v>760</v>
      </c>
      <c r="D4" t="s">
        <v>163</v>
      </c>
      <c r="E4" t="s">
        <v>164</v>
      </c>
      <c r="F4" t="s">
        <v>165</v>
      </c>
    </row>
    <row r="5" spans="1:6" x14ac:dyDescent="0.2">
      <c r="A5" t="s">
        <v>161</v>
      </c>
      <c r="B5" t="s">
        <v>166</v>
      </c>
      <c r="C5">
        <v>310</v>
      </c>
      <c r="D5" t="s">
        <v>167</v>
      </c>
      <c r="E5" t="s">
        <v>164</v>
      </c>
      <c r="F5" t="s">
        <v>165</v>
      </c>
    </row>
    <row r="6" spans="1:6" x14ac:dyDescent="0.2">
      <c r="A6" t="s">
        <v>168</v>
      </c>
      <c r="B6" t="s">
        <v>169</v>
      </c>
      <c r="C6">
        <v>1640</v>
      </c>
      <c r="D6" t="s">
        <v>170</v>
      </c>
      <c r="E6" t="s">
        <v>164</v>
      </c>
      <c r="F6" t="s">
        <v>165</v>
      </c>
    </row>
    <row r="7" spans="1:6" x14ac:dyDescent="0.2">
      <c r="A7" t="s">
        <v>168</v>
      </c>
      <c r="B7" t="s">
        <v>171</v>
      </c>
      <c r="C7">
        <v>860</v>
      </c>
      <c r="D7" t="s">
        <v>172</v>
      </c>
      <c r="E7" t="s">
        <v>164</v>
      </c>
      <c r="F7" t="s">
        <v>173</v>
      </c>
    </row>
    <row r="8" spans="1:6" x14ac:dyDescent="0.2">
      <c r="A8" t="s">
        <v>174</v>
      </c>
      <c r="B8" t="s">
        <v>175</v>
      </c>
      <c r="C8">
        <v>700</v>
      </c>
      <c r="D8" t="s">
        <v>176</v>
      </c>
      <c r="E8" t="s">
        <v>164</v>
      </c>
      <c r="F8" t="s">
        <v>158</v>
      </c>
    </row>
    <row r="9" spans="1:6" x14ac:dyDescent="0.2">
      <c r="A9" t="s">
        <v>177</v>
      </c>
      <c r="B9" t="s">
        <v>178</v>
      </c>
      <c r="C9">
        <v>0</v>
      </c>
      <c r="D9" t="s">
        <v>179</v>
      </c>
      <c r="E9" t="s">
        <v>164</v>
      </c>
      <c r="F9" t="s">
        <v>158</v>
      </c>
    </row>
    <row r="10" spans="1:6" x14ac:dyDescent="0.2">
      <c r="A10" t="s">
        <v>180</v>
      </c>
      <c r="B10" t="s">
        <v>181</v>
      </c>
      <c r="C10">
        <v>500</v>
      </c>
      <c r="D10" t="s">
        <v>156</v>
      </c>
      <c r="E10" t="s">
        <v>182</v>
      </c>
      <c r="F10" t="s">
        <v>165</v>
      </c>
    </row>
    <row r="11" spans="1:6" x14ac:dyDescent="0.2">
      <c r="A11" t="s">
        <v>183</v>
      </c>
      <c r="B11" t="s">
        <v>184</v>
      </c>
      <c r="C11">
        <v>980</v>
      </c>
      <c r="D11" t="s">
        <v>185</v>
      </c>
      <c r="E11" t="s">
        <v>182</v>
      </c>
      <c r="F11" t="s">
        <v>165</v>
      </c>
    </row>
    <row r="12" spans="1:6" x14ac:dyDescent="0.2">
      <c r="A12" t="s">
        <v>186</v>
      </c>
      <c r="B12" t="s">
        <v>187</v>
      </c>
      <c r="C12">
        <v>220</v>
      </c>
      <c r="D12" t="s">
        <v>188</v>
      </c>
      <c r="E12" t="s">
        <v>182</v>
      </c>
      <c r="F12" t="s">
        <v>158</v>
      </c>
    </row>
    <row r="13" spans="1:6" x14ac:dyDescent="0.2">
      <c r="A13" t="s">
        <v>189</v>
      </c>
      <c r="B13" t="s">
        <v>190</v>
      </c>
      <c r="C13">
        <v>450</v>
      </c>
      <c r="D13" t="s">
        <v>191</v>
      </c>
      <c r="E13" t="s">
        <v>182</v>
      </c>
      <c r="F13" t="s">
        <v>165</v>
      </c>
    </row>
  </sheetData>
  <autoFilter ref="A1:F1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6" x14ac:dyDescent="0.2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</row>
    <row r="2" spans="1:6" x14ac:dyDescent="0.2">
      <c r="A2" t="s">
        <v>198</v>
      </c>
      <c r="B2" t="s">
        <v>17</v>
      </c>
      <c r="C2">
        <v>5</v>
      </c>
      <c r="D2" t="s">
        <v>199</v>
      </c>
      <c r="E2" t="s">
        <v>200</v>
      </c>
      <c r="F2">
        <v>4</v>
      </c>
    </row>
    <row r="3" spans="1:6" x14ac:dyDescent="0.2">
      <c r="A3" t="s">
        <v>201</v>
      </c>
      <c r="B3" t="s">
        <v>31</v>
      </c>
      <c r="C3">
        <v>7</v>
      </c>
      <c r="D3" t="s">
        <v>202</v>
      </c>
      <c r="E3" t="s">
        <v>203</v>
      </c>
      <c r="F3">
        <v>5</v>
      </c>
    </row>
    <row r="4" spans="1:6" x14ac:dyDescent="0.2">
      <c r="A4" t="s">
        <v>204</v>
      </c>
      <c r="B4" t="s">
        <v>41</v>
      </c>
      <c r="C4">
        <v>9</v>
      </c>
      <c r="D4" t="s">
        <v>199</v>
      </c>
      <c r="E4" t="s">
        <v>205</v>
      </c>
      <c r="F4">
        <v>3</v>
      </c>
    </row>
    <row r="5" spans="1:6" x14ac:dyDescent="0.2">
      <c r="A5" t="s">
        <v>206</v>
      </c>
      <c r="B5" t="s">
        <v>48</v>
      </c>
      <c r="C5">
        <v>11</v>
      </c>
      <c r="D5" t="s">
        <v>202</v>
      </c>
      <c r="E5" t="s">
        <v>207</v>
      </c>
      <c r="F5">
        <v>4</v>
      </c>
    </row>
    <row r="6" spans="1:6" x14ac:dyDescent="0.2">
      <c r="A6" t="s">
        <v>208</v>
      </c>
      <c r="B6" t="s">
        <v>58</v>
      </c>
      <c r="C6">
        <v>13</v>
      </c>
      <c r="D6" t="s">
        <v>199</v>
      </c>
      <c r="E6" t="s">
        <v>209</v>
      </c>
      <c r="F6">
        <v>5</v>
      </c>
    </row>
    <row r="7" spans="1:6" x14ac:dyDescent="0.2">
      <c r="A7" t="s">
        <v>210</v>
      </c>
      <c r="B7" t="s">
        <v>62</v>
      </c>
      <c r="C7">
        <v>15</v>
      </c>
      <c r="D7" t="s">
        <v>202</v>
      </c>
      <c r="E7" t="s">
        <v>211</v>
      </c>
      <c r="F7">
        <v>3</v>
      </c>
    </row>
    <row r="8" spans="1:6" x14ac:dyDescent="0.2">
      <c r="A8" t="s">
        <v>212</v>
      </c>
      <c r="B8" t="s">
        <v>69</v>
      </c>
      <c r="C8">
        <v>17</v>
      </c>
      <c r="D8" t="s">
        <v>199</v>
      </c>
      <c r="E8" t="s">
        <v>213</v>
      </c>
      <c r="F8">
        <v>4</v>
      </c>
    </row>
    <row r="9" spans="1:6" x14ac:dyDescent="0.2">
      <c r="A9" t="s">
        <v>214</v>
      </c>
      <c r="B9" t="s">
        <v>76</v>
      </c>
      <c r="C9">
        <v>19</v>
      </c>
      <c r="D9" t="s">
        <v>202</v>
      </c>
      <c r="E9" t="s">
        <v>215</v>
      </c>
      <c r="F9">
        <v>5</v>
      </c>
    </row>
    <row r="10" spans="1:6" x14ac:dyDescent="0.2">
      <c r="A10" t="s">
        <v>216</v>
      </c>
      <c r="B10" t="s">
        <v>86</v>
      </c>
      <c r="C10">
        <v>3</v>
      </c>
      <c r="D10" t="s">
        <v>199</v>
      </c>
      <c r="E10" t="s">
        <v>217</v>
      </c>
      <c r="F10">
        <v>3</v>
      </c>
    </row>
    <row r="11" spans="1:6" x14ac:dyDescent="0.2">
      <c r="A11" t="s">
        <v>218</v>
      </c>
      <c r="B11" t="s">
        <v>96</v>
      </c>
      <c r="C11">
        <v>5</v>
      </c>
      <c r="D11" t="s">
        <v>202</v>
      </c>
      <c r="E11" t="s">
        <v>219</v>
      </c>
      <c r="F11">
        <v>4</v>
      </c>
    </row>
    <row r="12" spans="1:6" x14ac:dyDescent="0.2">
      <c r="A12" t="s">
        <v>220</v>
      </c>
      <c r="B12" t="s">
        <v>103</v>
      </c>
      <c r="C12">
        <v>7</v>
      </c>
      <c r="D12" t="s">
        <v>199</v>
      </c>
      <c r="E12" t="s">
        <v>221</v>
      </c>
      <c r="F12">
        <v>5</v>
      </c>
    </row>
    <row r="13" spans="1:6" x14ac:dyDescent="0.2">
      <c r="A13" t="s">
        <v>222</v>
      </c>
      <c r="B13" t="s">
        <v>12</v>
      </c>
      <c r="C13">
        <v>9</v>
      </c>
      <c r="D13" t="s">
        <v>202</v>
      </c>
      <c r="E13" t="s">
        <v>223</v>
      </c>
      <c r="F13">
        <v>3</v>
      </c>
    </row>
    <row r="14" spans="1:6" x14ac:dyDescent="0.2">
      <c r="A14" t="s">
        <v>224</v>
      </c>
      <c r="B14" t="s">
        <v>17</v>
      </c>
      <c r="C14">
        <v>11</v>
      </c>
      <c r="D14" t="s">
        <v>199</v>
      </c>
      <c r="E14" t="s">
        <v>225</v>
      </c>
      <c r="F14">
        <v>4</v>
      </c>
    </row>
    <row r="15" spans="1:6" x14ac:dyDescent="0.2">
      <c r="A15" t="s">
        <v>226</v>
      </c>
      <c r="B15" t="s">
        <v>31</v>
      </c>
      <c r="C15">
        <v>13</v>
      </c>
      <c r="D15" t="s">
        <v>202</v>
      </c>
      <c r="E15" t="s">
        <v>227</v>
      </c>
      <c r="F15">
        <v>5</v>
      </c>
    </row>
    <row r="16" spans="1:6" x14ac:dyDescent="0.2">
      <c r="A16" t="s">
        <v>228</v>
      </c>
      <c r="B16" t="s">
        <v>41</v>
      </c>
      <c r="C16">
        <v>15</v>
      </c>
      <c r="D16" t="s">
        <v>199</v>
      </c>
      <c r="E16" t="s">
        <v>229</v>
      </c>
      <c r="F16">
        <v>3</v>
      </c>
    </row>
    <row r="17" spans="1:6" x14ac:dyDescent="0.2">
      <c r="A17" t="s">
        <v>230</v>
      </c>
      <c r="B17" t="s">
        <v>48</v>
      </c>
      <c r="C17">
        <v>17</v>
      </c>
      <c r="D17" t="s">
        <v>202</v>
      </c>
      <c r="E17" t="s">
        <v>231</v>
      </c>
      <c r="F17">
        <v>4</v>
      </c>
    </row>
    <row r="18" spans="1:6" x14ac:dyDescent="0.2">
      <c r="A18" t="s">
        <v>232</v>
      </c>
      <c r="B18" t="s">
        <v>58</v>
      </c>
      <c r="C18">
        <v>19</v>
      </c>
      <c r="D18" t="s">
        <v>199</v>
      </c>
      <c r="E18" t="s">
        <v>233</v>
      </c>
      <c r="F18">
        <v>5</v>
      </c>
    </row>
    <row r="19" spans="1:6" x14ac:dyDescent="0.2">
      <c r="A19" t="s">
        <v>234</v>
      </c>
      <c r="B19" t="s">
        <v>62</v>
      </c>
      <c r="C19">
        <v>3</v>
      </c>
      <c r="D19" t="s">
        <v>202</v>
      </c>
      <c r="E19" t="s">
        <v>235</v>
      </c>
      <c r="F19">
        <v>3</v>
      </c>
    </row>
    <row r="20" spans="1:6" x14ac:dyDescent="0.2">
      <c r="A20" t="s">
        <v>236</v>
      </c>
      <c r="B20" t="s">
        <v>69</v>
      </c>
      <c r="C20">
        <v>5</v>
      </c>
      <c r="D20" t="s">
        <v>199</v>
      </c>
      <c r="E20" t="s">
        <v>237</v>
      </c>
      <c r="F20">
        <v>4</v>
      </c>
    </row>
    <row r="21" spans="1:6" x14ac:dyDescent="0.2">
      <c r="A21" t="s">
        <v>238</v>
      </c>
      <c r="B21" t="s">
        <v>76</v>
      </c>
      <c r="C21">
        <v>7</v>
      </c>
      <c r="D21" t="s">
        <v>202</v>
      </c>
      <c r="E21" t="s">
        <v>239</v>
      </c>
      <c r="F21">
        <v>5</v>
      </c>
    </row>
  </sheetData>
  <autoFilter ref="A1:F2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7" x14ac:dyDescent="0.2">
      <c r="A1" t="s">
        <v>240</v>
      </c>
      <c r="B1" t="s">
        <v>241</v>
      </c>
      <c r="C1" t="s">
        <v>242</v>
      </c>
      <c r="D1" t="s">
        <v>243</v>
      </c>
      <c r="E1" t="s">
        <v>152</v>
      </c>
      <c r="F1" t="s">
        <v>244</v>
      </c>
      <c r="G1" t="s">
        <v>245</v>
      </c>
    </row>
    <row r="2" spans="1:7" x14ac:dyDescent="0.2">
      <c r="A2" t="s">
        <v>246</v>
      </c>
      <c r="B2" t="s">
        <v>16</v>
      </c>
      <c r="C2">
        <v>4</v>
      </c>
      <c r="D2">
        <v>3</v>
      </c>
      <c r="E2" t="s">
        <v>247</v>
      </c>
      <c r="F2" t="s">
        <v>248</v>
      </c>
      <c r="G2" t="s">
        <v>145</v>
      </c>
    </row>
    <row r="3" spans="1:7" x14ac:dyDescent="0.2">
      <c r="A3" t="s">
        <v>249</v>
      </c>
      <c r="B3" t="s">
        <v>21</v>
      </c>
      <c r="C3">
        <v>7</v>
      </c>
      <c r="D3">
        <v>4</v>
      </c>
      <c r="E3" t="s">
        <v>247</v>
      </c>
      <c r="F3" t="s">
        <v>250</v>
      </c>
      <c r="G3" t="s">
        <v>145</v>
      </c>
    </row>
    <row r="4" spans="1:7" x14ac:dyDescent="0.2">
      <c r="A4" t="s">
        <v>251</v>
      </c>
      <c r="B4" t="s">
        <v>24</v>
      </c>
      <c r="C4">
        <v>10</v>
      </c>
      <c r="D4">
        <v>5</v>
      </c>
      <c r="E4" t="s">
        <v>247</v>
      </c>
      <c r="F4" t="s">
        <v>252</v>
      </c>
      <c r="G4" t="s">
        <v>145</v>
      </c>
    </row>
    <row r="5" spans="1:7" x14ac:dyDescent="0.2">
      <c r="A5" t="s">
        <v>253</v>
      </c>
      <c r="B5" t="s">
        <v>27</v>
      </c>
      <c r="C5">
        <v>13</v>
      </c>
      <c r="D5">
        <v>6</v>
      </c>
      <c r="E5" t="s">
        <v>247</v>
      </c>
      <c r="F5" t="s">
        <v>254</v>
      </c>
      <c r="G5" t="s">
        <v>145</v>
      </c>
    </row>
    <row r="6" spans="1:7" x14ac:dyDescent="0.2">
      <c r="A6" t="s">
        <v>255</v>
      </c>
      <c r="B6" t="s">
        <v>30</v>
      </c>
      <c r="C6">
        <v>16</v>
      </c>
      <c r="D6">
        <v>7</v>
      </c>
      <c r="E6" t="s">
        <v>256</v>
      </c>
      <c r="F6" t="s">
        <v>257</v>
      </c>
      <c r="G6" t="s">
        <v>145</v>
      </c>
    </row>
    <row r="7" spans="1:7" x14ac:dyDescent="0.2">
      <c r="A7" t="s">
        <v>258</v>
      </c>
      <c r="B7" t="s">
        <v>34</v>
      </c>
      <c r="C7">
        <v>19</v>
      </c>
      <c r="D7">
        <v>8</v>
      </c>
      <c r="E7" t="s">
        <v>247</v>
      </c>
      <c r="F7" t="s">
        <v>259</v>
      </c>
      <c r="G7" t="s">
        <v>145</v>
      </c>
    </row>
    <row r="8" spans="1:7" x14ac:dyDescent="0.2">
      <c r="A8" t="s">
        <v>246</v>
      </c>
      <c r="B8" t="s">
        <v>37</v>
      </c>
      <c r="C8">
        <v>22</v>
      </c>
      <c r="D8">
        <v>9</v>
      </c>
      <c r="E8" t="s">
        <v>247</v>
      </c>
      <c r="F8" t="s">
        <v>260</v>
      </c>
      <c r="G8" t="s">
        <v>261</v>
      </c>
    </row>
    <row r="9" spans="1:7" x14ac:dyDescent="0.2">
      <c r="A9" t="s">
        <v>249</v>
      </c>
      <c r="B9" t="s">
        <v>40</v>
      </c>
      <c r="C9">
        <v>25</v>
      </c>
      <c r="D9">
        <v>2</v>
      </c>
      <c r="E9" t="s">
        <v>247</v>
      </c>
      <c r="F9" t="s">
        <v>262</v>
      </c>
      <c r="G9" t="s">
        <v>145</v>
      </c>
    </row>
    <row r="10" spans="1:7" x14ac:dyDescent="0.2">
      <c r="A10" t="s">
        <v>251</v>
      </c>
      <c r="B10" t="s">
        <v>44</v>
      </c>
      <c r="C10">
        <v>28</v>
      </c>
      <c r="D10">
        <v>3</v>
      </c>
      <c r="E10" t="s">
        <v>247</v>
      </c>
      <c r="F10" t="s">
        <v>263</v>
      </c>
      <c r="G10" t="s">
        <v>145</v>
      </c>
    </row>
    <row r="11" spans="1:7" x14ac:dyDescent="0.2">
      <c r="A11" t="s">
        <v>253</v>
      </c>
      <c r="B11" t="s">
        <v>47</v>
      </c>
      <c r="C11">
        <v>3</v>
      </c>
      <c r="D11">
        <v>4</v>
      </c>
      <c r="E11" t="s">
        <v>256</v>
      </c>
      <c r="F11" t="s">
        <v>264</v>
      </c>
      <c r="G11" t="s">
        <v>145</v>
      </c>
    </row>
    <row r="12" spans="1:7" x14ac:dyDescent="0.2">
      <c r="A12" t="s">
        <v>255</v>
      </c>
      <c r="B12" t="s">
        <v>51</v>
      </c>
      <c r="C12">
        <v>6</v>
      </c>
      <c r="D12">
        <v>5</v>
      </c>
      <c r="E12" t="s">
        <v>247</v>
      </c>
      <c r="F12" t="s">
        <v>265</v>
      </c>
      <c r="G12" t="s">
        <v>145</v>
      </c>
    </row>
    <row r="13" spans="1:7" x14ac:dyDescent="0.2">
      <c r="A13" t="s">
        <v>258</v>
      </c>
      <c r="B13" t="s">
        <v>54</v>
      </c>
      <c r="C13">
        <v>9</v>
      </c>
      <c r="D13">
        <v>6</v>
      </c>
      <c r="E13" t="s">
        <v>247</v>
      </c>
      <c r="F13" t="s">
        <v>266</v>
      </c>
      <c r="G13" t="s">
        <v>145</v>
      </c>
    </row>
    <row r="14" spans="1:7" x14ac:dyDescent="0.2">
      <c r="A14" t="s">
        <v>246</v>
      </c>
      <c r="B14" t="s">
        <v>57</v>
      </c>
      <c r="C14">
        <v>12</v>
      </c>
      <c r="D14">
        <v>7</v>
      </c>
      <c r="E14" t="s">
        <v>247</v>
      </c>
      <c r="F14" t="s">
        <v>267</v>
      </c>
      <c r="G14" t="s">
        <v>145</v>
      </c>
    </row>
    <row r="15" spans="1:7" x14ac:dyDescent="0.2">
      <c r="A15" t="s">
        <v>249</v>
      </c>
      <c r="B15" t="s">
        <v>61</v>
      </c>
      <c r="C15">
        <v>15</v>
      </c>
      <c r="D15">
        <v>8</v>
      </c>
      <c r="E15" t="s">
        <v>247</v>
      </c>
      <c r="F15" t="s">
        <v>268</v>
      </c>
      <c r="G15" t="s">
        <v>261</v>
      </c>
    </row>
    <row r="16" spans="1:7" x14ac:dyDescent="0.2">
      <c r="A16" t="s">
        <v>251</v>
      </c>
      <c r="B16" t="s">
        <v>65</v>
      </c>
      <c r="C16">
        <v>18</v>
      </c>
      <c r="D16">
        <v>9</v>
      </c>
      <c r="E16" t="s">
        <v>256</v>
      </c>
      <c r="F16" t="s">
        <v>269</v>
      </c>
      <c r="G16" t="s">
        <v>145</v>
      </c>
    </row>
    <row r="17" spans="1:7" x14ac:dyDescent="0.2">
      <c r="A17" t="s">
        <v>253</v>
      </c>
      <c r="B17" t="s">
        <v>68</v>
      </c>
      <c r="C17">
        <v>21</v>
      </c>
      <c r="D17">
        <v>2</v>
      </c>
      <c r="E17" t="s">
        <v>247</v>
      </c>
      <c r="F17" t="s">
        <v>270</v>
      </c>
      <c r="G17" t="s">
        <v>145</v>
      </c>
    </row>
    <row r="18" spans="1:7" x14ac:dyDescent="0.2">
      <c r="A18" t="s">
        <v>255</v>
      </c>
      <c r="B18" t="s">
        <v>72</v>
      </c>
      <c r="C18">
        <v>24</v>
      </c>
      <c r="D18">
        <v>3</v>
      </c>
      <c r="E18" t="s">
        <v>247</v>
      </c>
      <c r="F18" t="s">
        <v>271</v>
      </c>
      <c r="G18" t="s">
        <v>145</v>
      </c>
    </row>
    <row r="19" spans="1:7" x14ac:dyDescent="0.2">
      <c r="A19" t="s">
        <v>258</v>
      </c>
      <c r="B19" t="s">
        <v>75</v>
      </c>
      <c r="C19">
        <v>27</v>
      </c>
      <c r="D19">
        <v>4</v>
      </c>
      <c r="E19" t="s">
        <v>247</v>
      </c>
      <c r="F19" t="s">
        <v>272</v>
      </c>
      <c r="G19" t="s">
        <v>145</v>
      </c>
    </row>
    <row r="20" spans="1:7" x14ac:dyDescent="0.2">
      <c r="A20" t="s">
        <v>246</v>
      </c>
      <c r="B20" t="s">
        <v>79</v>
      </c>
      <c r="C20">
        <v>2</v>
      </c>
      <c r="D20">
        <v>5</v>
      </c>
      <c r="E20" t="s">
        <v>247</v>
      </c>
      <c r="F20" t="s">
        <v>273</v>
      </c>
      <c r="G20" t="s">
        <v>145</v>
      </c>
    </row>
    <row r="21" spans="1:7" x14ac:dyDescent="0.2">
      <c r="A21" t="s">
        <v>249</v>
      </c>
      <c r="B21" t="s">
        <v>82</v>
      </c>
      <c r="C21">
        <v>5</v>
      </c>
      <c r="D21">
        <v>6</v>
      </c>
      <c r="E21" t="s">
        <v>256</v>
      </c>
      <c r="F21" t="s">
        <v>274</v>
      </c>
      <c r="G21" t="s">
        <v>145</v>
      </c>
    </row>
    <row r="22" spans="1:7" x14ac:dyDescent="0.2">
      <c r="A22" t="s">
        <v>251</v>
      </c>
      <c r="B22" t="s">
        <v>85</v>
      </c>
      <c r="C22">
        <v>8</v>
      </c>
      <c r="D22">
        <v>7</v>
      </c>
      <c r="E22" t="s">
        <v>247</v>
      </c>
      <c r="F22" t="s">
        <v>275</v>
      </c>
      <c r="G22" t="s">
        <v>261</v>
      </c>
    </row>
    <row r="23" spans="1:7" x14ac:dyDescent="0.2">
      <c r="A23" t="s">
        <v>253</v>
      </c>
      <c r="B23" t="s">
        <v>89</v>
      </c>
      <c r="C23">
        <v>11</v>
      </c>
      <c r="D23">
        <v>8</v>
      </c>
      <c r="E23" t="s">
        <v>247</v>
      </c>
      <c r="F23" t="s">
        <v>276</v>
      </c>
      <c r="G23" t="s">
        <v>145</v>
      </c>
    </row>
    <row r="24" spans="1:7" x14ac:dyDescent="0.2">
      <c r="A24" t="s">
        <v>255</v>
      </c>
      <c r="B24" t="s">
        <v>92</v>
      </c>
      <c r="C24">
        <v>14</v>
      </c>
      <c r="D24">
        <v>9</v>
      </c>
      <c r="E24" t="s">
        <v>247</v>
      </c>
      <c r="F24" t="s">
        <v>277</v>
      </c>
      <c r="G24" t="s">
        <v>145</v>
      </c>
    </row>
    <row r="25" spans="1:7" x14ac:dyDescent="0.2">
      <c r="A25" t="s">
        <v>258</v>
      </c>
      <c r="B25" t="s">
        <v>95</v>
      </c>
      <c r="C25">
        <v>17</v>
      </c>
      <c r="D25">
        <v>2</v>
      </c>
      <c r="E25" t="s">
        <v>247</v>
      </c>
      <c r="F25" t="s">
        <v>278</v>
      </c>
      <c r="G25" t="s">
        <v>145</v>
      </c>
    </row>
    <row r="26" spans="1:7" x14ac:dyDescent="0.2">
      <c r="A26" t="s">
        <v>246</v>
      </c>
      <c r="B26" t="s">
        <v>99</v>
      </c>
      <c r="C26">
        <v>20</v>
      </c>
      <c r="D26">
        <v>3</v>
      </c>
      <c r="E26" t="s">
        <v>256</v>
      </c>
      <c r="F26" t="s">
        <v>279</v>
      </c>
      <c r="G26" t="s">
        <v>145</v>
      </c>
    </row>
    <row r="27" spans="1:7" x14ac:dyDescent="0.2">
      <c r="A27" t="s">
        <v>249</v>
      </c>
      <c r="B27" t="s">
        <v>102</v>
      </c>
      <c r="C27">
        <v>23</v>
      </c>
      <c r="D27">
        <v>4</v>
      </c>
      <c r="E27" t="s">
        <v>247</v>
      </c>
      <c r="F27" t="s">
        <v>280</v>
      </c>
      <c r="G27" t="s">
        <v>145</v>
      </c>
    </row>
    <row r="28" spans="1:7" x14ac:dyDescent="0.2">
      <c r="A28" t="s">
        <v>251</v>
      </c>
      <c r="B28" t="s">
        <v>106</v>
      </c>
      <c r="C28">
        <v>26</v>
      </c>
      <c r="D28">
        <v>5</v>
      </c>
      <c r="E28" t="s">
        <v>247</v>
      </c>
      <c r="F28" t="s">
        <v>281</v>
      </c>
      <c r="G28" t="s">
        <v>145</v>
      </c>
    </row>
    <row r="29" spans="1:7" x14ac:dyDescent="0.2">
      <c r="A29" t="s">
        <v>253</v>
      </c>
      <c r="B29" t="s">
        <v>109</v>
      </c>
      <c r="C29">
        <v>1</v>
      </c>
      <c r="D29">
        <v>6</v>
      </c>
      <c r="E29" t="s">
        <v>247</v>
      </c>
      <c r="F29" t="s">
        <v>282</v>
      </c>
      <c r="G29" t="s">
        <v>261</v>
      </c>
    </row>
    <row r="30" spans="1:7" x14ac:dyDescent="0.2">
      <c r="A30" t="s">
        <v>255</v>
      </c>
      <c r="B30" t="s">
        <v>112</v>
      </c>
      <c r="C30">
        <v>4</v>
      </c>
      <c r="D30">
        <v>7</v>
      </c>
      <c r="E30" t="s">
        <v>247</v>
      </c>
      <c r="F30" t="s">
        <v>283</v>
      </c>
      <c r="G30" t="s">
        <v>145</v>
      </c>
    </row>
    <row r="31" spans="1:7" x14ac:dyDescent="0.2">
      <c r="A31" t="s">
        <v>258</v>
      </c>
      <c r="B31" t="s">
        <v>115</v>
      </c>
      <c r="C31">
        <v>7</v>
      </c>
      <c r="D31">
        <v>8</v>
      </c>
      <c r="E31" t="s">
        <v>256</v>
      </c>
      <c r="F31" t="s">
        <v>284</v>
      </c>
      <c r="G31" t="s">
        <v>145</v>
      </c>
    </row>
    <row r="32" spans="1:7" x14ac:dyDescent="0.2">
      <c r="A32" t="s">
        <v>246</v>
      </c>
      <c r="B32" t="s">
        <v>118</v>
      </c>
      <c r="C32">
        <v>10</v>
      </c>
      <c r="D32">
        <v>9</v>
      </c>
      <c r="E32" t="s">
        <v>247</v>
      </c>
      <c r="F32" t="s">
        <v>285</v>
      </c>
      <c r="G32" t="s">
        <v>145</v>
      </c>
    </row>
    <row r="33" spans="1:7" x14ac:dyDescent="0.2">
      <c r="A33" t="s">
        <v>249</v>
      </c>
      <c r="B33" t="s">
        <v>121</v>
      </c>
      <c r="C33">
        <v>13</v>
      </c>
      <c r="D33">
        <v>2</v>
      </c>
      <c r="E33" t="s">
        <v>247</v>
      </c>
      <c r="F33" t="s">
        <v>286</v>
      </c>
      <c r="G33" t="s">
        <v>145</v>
      </c>
    </row>
    <row r="34" spans="1:7" x14ac:dyDescent="0.2">
      <c r="A34" t="s">
        <v>251</v>
      </c>
      <c r="B34" t="s">
        <v>124</v>
      </c>
      <c r="C34">
        <v>16</v>
      </c>
      <c r="D34">
        <v>3</v>
      </c>
      <c r="E34" t="s">
        <v>247</v>
      </c>
      <c r="F34" t="s">
        <v>287</v>
      </c>
      <c r="G34" t="s">
        <v>145</v>
      </c>
    </row>
    <row r="35" spans="1:7" x14ac:dyDescent="0.2">
      <c r="A35" t="s">
        <v>253</v>
      </c>
      <c r="B35" t="s">
        <v>127</v>
      </c>
      <c r="C35">
        <v>19</v>
      </c>
      <c r="D35">
        <v>4</v>
      </c>
      <c r="E35" t="s">
        <v>247</v>
      </c>
      <c r="F35" t="s">
        <v>288</v>
      </c>
      <c r="G35" t="s">
        <v>145</v>
      </c>
    </row>
    <row r="36" spans="1:7" x14ac:dyDescent="0.2">
      <c r="A36" t="s">
        <v>255</v>
      </c>
      <c r="B36" t="s">
        <v>130</v>
      </c>
      <c r="C36">
        <v>22</v>
      </c>
      <c r="D36">
        <v>5</v>
      </c>
      <c r="E36" t="s">
        <v>256</v>
      </c>
      <c r="F36" t="s">
        <v>289</v>
      </c>
      <c r="G36" t="s">
        <v>261</v>
      </c>
    </row>
    <row r="37" spans="1:7" x14ac:dyDescent="0.2">
      <c r="A37" t="s">
        <v>258</v>
      </c>
      <c r="B37" t="s">
        <v>133</v>
      </c>
      <c r="C37">
        <v>25</v>
      </c>
      <c r="D37">
        <v>6</v>
      </c>
      <c r="E37" t="s">
        <v>247</v>
      </c>
      <c r="F37" t="s">
        <v>290</v>
      </c>
      <c r="G37" t="s">
        <v>145</v>
      </c>
    </row>
    <row r="38" spans="1:7" x14ac:dyDescent="0.2">
      <c r="A38" t="s">
        <v>246</v>
      </c>
      <c r="B38" t="s">
        <v>136</v>
      </c>
      <c r="C38">
        <v>28</v>
      </c>
      <c r="D38">
        <v>7</v>
      </c>
      <c r="E38" t="s">
        <v>247</v>
      </c>
      <c r="F38" t="s">
        <v>291</v>
      </c>
      <c r="G38" t="s">
        <v>145</v>
      </c>
    </row>
    <row r="39" spans="1:7" x14ac:dyDescent="0.2">
      <c r="A39" t="s">
        <v>249</v>
      </c>
      <c r="B39" t="s">
        <v>139</v>
      </c>
      <c r="C39">
        <v>3</v>
      </c>
      <c r="D39">
        <v>8</v>
      </c>
      <c r="E39" t="s">
        <v>247</v>
      </c>
      <c r="F39" t="s">
        <v>292</v>
      </c>
      <c r="G39" t="s">
        <v>145</v>
      </c>
    </row>
    <row r="40" spans="1:7" x14ac:dyDescent="0.2">
      <c r="A40" t="s">
        <v>251</v>
      </c>
      <c r="B40" t="s">
        <v>142</v>
      </c>
      <c r="C40">
        <v>6</v>
      </c>
      <c r="D40">
        <v>9</v>
      </c>
      <c r="E40" t="s">
        <v>247</v>
      </c>
      <c r="F40" t="s">
        <v>293</v>
      </c>
      <c r="G40" t="s">
        <v>145</v>
      </c>
    </row>
    <row r="41" spans="1:7" x14ac:dyDescent="0.2">
      <c r="A41" t="s">
        <v>253</v>
      </c>
      <c r="B41" t="s">
        <v>11</v>
      </c>
      <c r="C41">
        <v>9</v>
      </c>
      <c r="D41">
        <v>2</v>
      </c>
      <c r="E41" t="s">
        <v>256</v>
      </c>
      <c r="F41" t="s">
        <v>294</v>
      </c>
      <c r="G41" t="s">
        <v>145</v>
      </c>
    </row>
    <row r="42" spans="1:7" x14ac:dyDescent="0.2">
      <c r="A42" t="s">
        <v>255</v>
      </c>
      <c r="B42" t="s">
        <v>16</v>
      </c>
      <c r="C42">
        <v>12</v>
      </c>
      <c r="D42">
        <v>3</v>
      </c>
      <c r="E42" t="s">
        <v>247</v>
      </c>
      <c r="F42" t="s">
        <v>295</v>
      </c>
      <c r="G42" t="s">
        <v>145</v>
      </c>
    </row>
    <row r="43" spans="1:7" x14ac:dyDescent="0.2">
      <c r="A43" t="s">
        <v>258</v>
      </c>
      <c r="B43" t="s">
        <v>21</v>
      </c>
      <c r="C43">
        <v>15</v>
      </c>
      <c r="D43">
        <v>4</v>
      </c>
      <c r="E43" t="s">
        <v>247</v>
      </c>
      <c r="F43" t="s">
        <v>296</v>
      </c>
      <c r="G43" t="s">
        <v>261</v>
      </c>
    </row>
    <row r="44" spans="1:7" x14ac:dyDescent="0.2">
      <c r="A44" t="s">
        <v>246</v>
      </c>
      <c r="B44" t="s">
        <v>24</v>
      </c>
      <c r="C44">
        <v>18</v>
      </c>
      <c r="D44">
        <v>5</v>
      </c>
      <c r="E44" t="s">
        <v>247</v>
      </c>
      <c r="F44" t="s">
        <v>297</v>
      </c>
      <c r="G44" t="s">
        <v>145</v>
      </c>
    </row>
    <row r="45" spans="1:7" x14ac:dyDescent="0.2">
      <c r="A45" t="s">
        <v>249</v>
      </c>
      <c r="B45" t="s">
        <v>27</v>
      </c>
      <c r="C45">
        <v>21</v>
      </c>
      <c r="D45">
        <v>6</v>
      </c>
      <c r="E45" t="s">
        <v>247</v>
      </c>
      <c r="F45" t="s">
        <v>298</v>
      </c>
      <c r="G45" t="s">
        <v>145</v>
      </c>
    </row>
    <row r="46" spans="1:7" x14ac:dyDescent="0.2">
      <c r="A46" t="s">
        <v>251</v>
      </c>
      <c r="B46" t="s">
        <v>30</v>
      </c>
      <c r="C46">
        <v>24</v>
      </c>
      <c r="D46">
        <v>7</v>
      </c>
      <c r="E46" t="s">
        <v>256</v>
      </c>
      <c r="F46" t="s">
        <v>299</v>
      </c>
      <c r="G46" t="s">
        <v>145</v>
      </c>
    </row>
    <row r="47" spans="1:7" x14ac:dyDescent="0.2">
      <c r="A47" t="s">
        <v>253</v>
      </c>
      <c r="B47" t="s">
        <v>34</v>
      </c>
      <c r="C47">
        <v>27</v>
      </c>
      <c r="D47">
        <v>8</v>
      </c>
      <c r="E47" t="s">
        <v>247</v>
      </c>
      <c r="F47" t="s">
        <v>300</v>
      </c>
      <c r="G47" t="s">
        <v>145</v>
      </c>
    </row>
    <row r="48" spans="1:7" x14ac:dyDescent="0.2">
      <c r="A48" t="s">
        <v>255</v>
      </c>
      <c r="B48" t="s">
        <v>37</v>
      </c>
      <c r="C48">
        <v>2</v>
      </c>
      <c r="D48">
        <v>9</v>
      </c>
      <c r="E48" t="s">
        <v>247</v>
      </c>
      <c r="F48" t="s">
        <v>301</v>
      </c>
      <c r="G48" t="s">
        <v>145</v>
      </c>
    </row>
    <row r="49" spans="1:7" x14ac:dyDescent="0.2">
      <c r="A49" t="s">
        <v>258</v>
      </c>
      <c r="B49" t="s">
        <v>40</v>
      </c>
      <c r="C49">
        <v>5</v>
      </c>
      <c r="D49">
        <v>2</v>
      </c>
      <c r="E49" t="s">
        <v>247</v>
      </c>
      <c r="F49" t="s">
        <v>302</v>
      </c>
      <c r="G49" t="s">
        <v>145</v>
      </c>
    </row>
    <row r="50" spans="1:7" x14ac:dyDescent="0.2">
      <c r="A50" t="s">
        <v>246</v>
      </c>
      <c r="B50" t="s">
        <v>44</v>
      </c>
      <c r="C50">
        <v>8</v>
      </c>
      <c r="D50">
        <v>3</v>
      </c>
      <c r="E50" t="s">
        <v>247</v>
      </c>
      <c r="F50" t="s">
        <v>303</v>
      </c>
      <c r="G50" t="s">
        <v>261</v>
      </c>
    </row>
    <row r="51" spans="1:7" x14ac:dyDescent="0.2">
      <c r="A51" t="s">
        <v>249</v>
      </c>
      <c r="B51" t="s">
        <v>47</v>
      </c>
      <c r="C51">
        <v>11</v>
      </c>
      <c r="D51">
        <v>4</v>
      </c>
      <c r="E51" t="s">
        <v>256</v>
      </c>
      <c r="F51" t="s">
        <v>304</v>
      </c>
      <c r="G51" t="s">
        <v>145</v>
      </c>
    </row>
    <row r="52" spans="1:7" x14ac:dyDescent="0.2">
      <c r="A52" t="s">
        <v>251</v>
      </c>
      <c r="B52" t="s">
        <v>51</v>
      </c>
      <c r="C52">
        <v>14</v>
      </c>
      <c r="D52">
        <v>5</v>
      </c>
      <c r="E52" t="s">
        <v>247</v>
      </c>
      <c r="F52" t="s">
        <v>305</v>
      </c>
      <c r="G52" t="s">
        <v>145</v>
      </c>
    </row>
    <row r="53" spans="1:7" x14ac:dyDescent="0.2">
      <c r="A53" t="s">
        <v>253</v>
      </c>
      <c r="B53" t="s">
        <v>54</v>
      </c>
      <c r="C53">
        <v>17</v>
      </c>
      <c r="D53">
        <v>6</v>
      </c>
      <c r="E53" t="s">
        <v>247</v>
      </c>
      <c r="F53" t="s">
        <v>306</v>
      </c>
      <c r="G53" t="s">
        <v>145</v>
      </c>
    </row>
    <row r="54" spans="1:7" x14ac:dyDescent="0.2">
      <c r="A54" t="s">
        <v>255</v>
      </c>
      <c r="B54" t="s">
        <v>57</v>
      </c>
      <c r="C54">
        <v>20</v>
      </c>
      <c r="D54">
        <v>7</v>
      </c>
      <c r="E54" t="s">
        <v>247</v>
      </c>
      <c r="F54" t="s">
        <v>307</v>
      </c>
      <c r="G54" t="s">
        <v>145</v>
      </c>
    </row>
    <row r="55" spans="1:7" x14ac:dyDescent="0.2">
      <c r="A55" t="s">
        <v>258</v>
      </c>
      <c r="B55" t="s">
        <v>61</v>
      </c>
      <c r="C55">
        <v>23</v>
      </c>
      <c r="D55">
        <v>8</v>
      </c>
      <c r="E55" t="s">
        <v>247</v>
      </c>
      <c r="F55" t="s">
        <v>308</v>
      </c>
      <c r="G55" t="s">
        <v>145</v>
      </c>
    </row>
    <row r="56" spans="1:7" x14ac:dyDescent="0.2">
      <c r="A56" t="s">
        <v>246</v>
      </c>
      <c r="B56" t="s">
        <v>65</v>
      </c>
      <c r="C56">
        <v>26</v>
      </c>
      <c r="D56">
        <v>9</v>
      </c>
      <c r="E56" t="s">
        <v>256</v>
      </c>
      <c r="F56" t="s">
        <v>309</v>
      </c>
      <c r="G56" t="s">
        <v>145</v>
      </c>
    </row>
    <row r="57" spans="1:7" x14ac:dyDescent="0.2">
      <c r="A57" t="s">
        <v>249</v>
      </c>
      <c r="B57" t="s">
        <v>68</v>
      </c>
      <c r="C57">
        <v>1</v>
      </c>
      <c r="D57">
        <v>2</v>
      </c>
      <c r="E57" t="s">
        <v>247</v>
      </c>
      <c r="F57" t="s">
        <v>310</v>
      </c>
      <c r="G57" t="s">
        <v>261</v>
      </c>
    </row>
    <row r="58" spans="1:7" x14ac:dyDescent="0.2">
      <c r="A58" t="s">
        <v>251</v>
      </c>
      <c r="B58" t="s">
        <v>72</v>
      </c>
      <c r="C58">
        <v>4</v>
      </c>
      <c r="D58">
        <v>3</v>
      </c>
      <c r="E58" t="s">
        <v>247</v>
      </c>
      <c r="F58" t="s">
        <v>311</v>
      </c>
      <c r="G58" t="s">
        <v>145</v>
      </c>
    </row>
    <row r="59" spans="1:7" x14ac:dyDescent="0.2">
      <c r="A59" t="s">
        <v>253</v>
      </c>
      <c r="B59" t="s">
        <v>75</v>
      </c>
      <c r="C59">
        <v>7</v>
      </c>
      <c r="D59">
        <v>4</v>
      </c>
      <c r="E59" t="s">
        <v>247</v>
      </c>
      <c r="F59" t="s">
        <v>312</v>
      </c>
      <c r="G59" t="s">
        <v>145</v>
      </c>
    </row>
    <row r="60" spans="1:7" x14ac:dyDescent="0.2">
      <c r="A60" t="s">
        <v>255</v>
      </c>
      <c r="B60" t="s">
        <v>79</v>
      </c>
      <c r="C60">
        <v>10</v>
      </c>
      <c r="D60">
        <v>5</v>
      </c>
      <c r="E60" t="s">
        <v>247</v>
      </c>
      <c r="F60" t="s">
        <v>313</v>
      </c>
      <c r="G60" t="s">
        <v>145</v>
      </c>
    </row>
    <row r="61" spans="1:7" x14ac:dyDescent="0.2">
      <c r="A61" t="s">
        <v>258</v>
      </c>
      <c r="B61" t="s">
        <v>82</v>
      </c>
      <c r="C61">
        <v>13</v>
      </c>
      <c r="D61">
        <v>6</v>
      </c>
      <c r="E61" t="s">
        <v>256</v>
      </c>
      <c r="F61" t="s">
        <v>314</v>
      </c>
      <c r="G61" t="s">
        <v>145</v>
      </c>
    </row>
    <row r="62" spans="1:7" x14ac:dyDescent="0.2">
      <c r="A62" t="s">
        <v>246</v>
      </c>
      <c r="B62" t="s">
        <v>85</v>
      </c>
      <c r="C62">
        <v>16</v>
      </c>
      <c r="D62">
        <v>7</v>
      </c>
      <c r="E62" t="s">
        <v>247</v>
      </c>
      <c r="F62" t="s">
        <v>315</v>
      </c>
      <c r="G62" t="s">
        <v>145</v>
      </c>
    </row>
    <row r="63" spans="1:7" x14ac:dyDescent="0.2">
      <c r="A63" t="s">
        <v>249</v>
      </c>
      <c r="B63" t="s">
        <v>89</v>
      </c>
      <c r="C63">
        <v>19</v>
      </c>
      <c r="D63">
        <v>8</v>
      </c>
      <c r="E63" t="s">
        <v>247</v>
      </c>
      <c r="F63" t="s">
        <v>316</v>
      </c>
      <c r="G63" t="s">
        <v>145</v>
      </c>
    </row>
    <row r="64" spans="1:7" x14ac:dyDescent="0.2">
      <c r="A64" t="s">
        <v>251</v>
      </c>
      <c r="B64" t="s">
        <v>92</v>
      </c>
      <c r="C64">
        <v>22</v>
      </c>
      <c r="D64">
        <v>9</v>
      </c>
      <c r="E64" t="s">
        <v>247</v>
      </c>
      <c r="F64" t="s">
        <v>317</v>
      </c>
      <c r="G64" t="s">
        <v>261</v>
      </c>
    </row>
    <row r="65" spans="1:7" x14ac:dyDescent="0.2">
      <c r="A65" t="s">
        <v>253</v>
      </c>
      <c r="B65" t="s">
        <v>95</v>
      </c>
      <c r="C65">
        <v>25</v>
      </c>
      <c r="D65">
        <v>2</v>
      </c>
      <c r="E65" t="s">
        <v>247</v>
      </c>
      <c r="F65" t="s">
        <v>318</v>
      </c>
      <c r="G65" t="s">
        <v>145</v>
      </c>
    </row>
    <row r="66" spans="1:7" x14ac:dyDescent="0.2">
      <c r="A66" t="s">
        <v>255</v>
      </c>
      <c r="B66" t="s">
        <v>99</v>
      </c>
      <c r="C66">
        <v>28</v>
      </c>
      <c r="D66">
        <v>3</v>
      </c>
      <c r="E66" t="s">
        <v>256</v>
      </c>
      <c r="F66" t="s">
        <v>319</v>
      </c>
      <c r="G66" t="s">
        <v>145</v>
      </c>
    </row>
    <row r="67" spans="1:7" x14ac:dyDescent="0.2">
      <c r="A67" t="s">
        <v>258</v>
      </c>
      <c r="B67" t="s">
        <v>102</v>
      </c>
      <c r="C67">
        <v>3</v>
      </c>
      <c r="D67">
        <v>4</v>
      </c>
      <c r="E67" t="s">
        <v>247</v>
      </c>
      <c r="F67" t="s">
        <v>320</v>
      </c>
      <c r="G67" t="s">
        <v>145</v>
      </c>
    </row>
    <row r="68" spans="1:7" x14ac:dyDescent="0.2">
      <c r="A68" t="s">
        <v>246</v>
      </c>
      <c r="B68" t="s">
        <v>106</v>
      </c>
      <c r="C68">
        <v>6</v>
      </c>
      <c r="D68">
        <v>5</v>
      </c>
      <c r="E68" t="s">
        <v>247</v>
      </c>
      <c r="F68" t="s">
        <v>321</v>
      </c>
      <c r="G68" t="s">
        <v>145</v>
      </c>
    </row>
    <row r="69" spans="1:7" x14ac:dyDescent="0.2">
      <c r="A69" t="s">
        <v>249</v>
      </c>
      <c r="B69" t="s">
        <v>109</v>
      </c>
      <c r="C69">
        <v>9</v>
      </c>
      <c r="D69">
        <v>6</v>
      </c>
      <c r="E69" t="s">
        <v>247</v>
      </c>
      <c r="F69" t="s">
        <v>322</v>
      </c>
      <c r="G69" t="s">
        <v>145</v>
      </c>
    </row>
    <row r="70" spans="1:7" x14ac:dyDescent="0.2">
      <c r="A70" t="s">
        <v>251</v>
      </c>
      <c r="B70" t="s">
        <v>112</v>
      </c>
      <c r="C70">
        <v>12</v>
      </c>
      <c r="D70">
        <v>7</v>
      </c>
      <c r="E70" t="s">
        <v>247</v>
      </c>
      <c r="F70" t="s">
        <v>323</v>
      </c>
      <c r="G70" t="s">
        <v>145</v>
      </c>
    </row>
    <row r="71" spans="1:7" x14ac:dyDescent="0.2">
      <c r="A71" t="s">
        <v>253</v>
      </c>
      <c r="B71" t="s">
        <v>115</v>
      </c>
      <c r="C71">
        <v>15</v>
      </c>
      <c r="D71">
        <v>8</v>
      </c>
      <c r="E71" t="s">
        <v>256</v>
      </c>
      <c r="F71" t="s">
        <v>324</v>
      </c>
      <c r="G71" t="s">
        <v>261</v>
      </c>
    </row>
    <row r="72" spans="1:7" x14ac:dyDescent="0.2">
      <c r="A72" t="s">
        <v>255</v>
      </c>
      <c r="B72" t="s">
        <v>118</v>
      </c>
      <c r="C72">
        <v>18</v>
      </c>
      <c r="D72">
        <v>9</v>
      </c>
      <c r="E72" t="s">
        <v>247</v>
      </c>
      <c r="F72" t="s">
        <v>325</v>
      </c>
      <c r="G72" t="s">
        <v>145</v>
      </c>
    </row>
    <row r="73" spans="1:7" x14ac:dyDescent="0.2">
      <c r="A73" t="s">
        <v>258</v>
      </c>
      <c r="B73" t="s">
        <v>121</v>
      </c>
      <c r="C73">
        <v>21</v>
      </c>
      <c r="D73">
        <v>2</v>
      </c>
      <c r="E73" t="s">
        <v>247</v>
      </c>
      <c r="F73" t="s">
        <v>326</v>
      </c>
      <c r="G73" t="s">
        <v>145</v>
      </c>
    </row>
    <row r="74" spans="1:7" x14ac:dyDescent="0.2">
      <c r="A74" t="s">
        <v>246</v>
      </c>
      <c r="B74" t="s">
        <v>124</v>
      </c>
      <c r="C74">
        <v>24</v>
      </c>
      <c r="D74">
        <v>3</v>
      </c>
      <c r="E74" t="s">
        <v>247</v>
      </c>
      <c r="F74" t="s">
        <v>327</v>
      </c>
      <c r="G74" t="s">
        <v>145</v>
      </c>
    </row>
    <row r="75" spans="1:7" x14ac:dyDescent="0.2">
      <c r="A75" t="s">
        <v>249</v>
      </c>
      <c r="B75" t="s">
        <v>127</v>
      </c>
      <c r="C75">
        <v>27</v>
      </c>
      <c r="D75">
        <v>4</v>
      </c>
      <c r="E75" t="s">
        <v>247</v>
      </c>
      <c r="F75" t="s">
        <v>328</v>
      </c>
      <c r="G75" t="s">
        <v>145</v>
      </c>
    </row>
    <row r="76" spans="1:7" x14ac:dyDescent="0.2">
      <c r="A76" t="s">
        <v>251</v>
      </c>
      <c r="B76" t="s">
        <v>130</v>
      </c>
      <c r="C76">
        <v>2</v>
      </c>
      <c r="D76">
        <v>5</v>
      </c>
      <c r="E76" t="s">
        <v>256</v>
      </c>
      <c r="F76" t="s">
        <v>329</v>
      </c>
      <c r="G76" t="s">
        <v>145</v>
      </c>
    </row>
  </sheetData>
  <autoFilter ref="A1:G76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Presupuesto</vt:lpstr>
      <vt:lpstr>Resumen por categoría</vt:lpstr>
      <vt:lpstr>Cronograma</vt:lpstr>
      <vt:lpstr>Proveedores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Documento Excel de ejemplo ampliado</dc:title>
  <dc:creator>Hermes Agent</dc:creator>
  <cp:lastModifiedBy>Pablo Rodríguez (Tymit)</cp:lastModifiedBy>
  <dcterms:created xsi:type="dcterms:W3CDTF">2026-05-23T10:32:54Z</dcterms:created>
  <dcterms:modified xsi:type="dcterms:W3CDTF">2026-05-23T10:32:54Z</dcterms:modified>
</cp:coreProperties>
</file>