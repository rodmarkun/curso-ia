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rodriguez/Projects/curso-ia/03-RAG-MCP/documentos-ejemplo/"/>
    </mc:Choice>
  </mc:AlternateContent>
  <xr:revisionPtr revIDLastSave="0" documentId="8_{89BC30EB-D4A2-4043-A172-75C4A170835E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Calificaciones" sheetId="1" r:id="rId1"/>
    <sheet name="Resumen" sheetId="2" r:id="rId2"/>
    <sheet name="Por asignatura" sheetId="3" r:id="rId3"/>
    <sheet name="Incidencias" sheetId="4" r:id="rId4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  <c r="B13" i="2"/>
  <c r="B12" i="2"/>
  <c r="B8" i="2"/>
  <c r="B7" i="2"/>
  <c r="B6" i="2"/>
  <c r="B5" i="2"/>
  <c r="B2" i="2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K5" i="1"/>
  <c r="L5" i="1" s="1"/>
  <c r="K4" i="1"/>
  <c r="K3" i="1"/>
  <c r="L3" i="1" s="1"/>
  <c r="K2" i="1"/>
  <c r="L2" i="1" s="1"/>
  <c r="G4" i="3" l="1"/>
  <c r="G6" i="3"/>
  <c r="H5" i="3"/>
  <c r="H2" i="3"/>
  <c r="H3" i="3"/>
  <c r="G5" i="3"/>
  <c r="G2" i="3"/>
  <c r="L4" i="1"/>
  <c r="H4" i="3" s="1"/>
  <c r="B9" i="2"/>
  <c r="L6" i="1"/>
  <c r="H6" i="3" s="1"/>
  <c r="G3" i="3"/>
  <c r="B10" i="2" l="1"/>
  <c r="B11" i="2"/>
</calcChain>
</file>

<file path=xl/sharedStrings.xml><?xml version="1.0" encoding="utf-8"?>
<sst xmlns="http://schemas.openxmlformats.org/spreadsheetml/2006/main" count="1467" uniqueCount="262">
  <si>
    <t>ID</t>
  </si>
  <si>
    <t>Alumno</t>
  </si>
  <si>
    <t>Asignatura</t>
  </si>
  <si>
    <t>Grupo</t>
  </si>
  <si>
    <t>Prácticas</t>
  </si>
  <si>
    <t>Parcial 1</t>
  </si>
  <si>
    <t>Parcial 2</t>
  </si>
  <si>
    <t>Proyecto</t>
  </si>
  <si>
    <t>Asistencia %</t>
  </si>
  <si>
    <t>Entregas retrasadas</t>
  </si>
  <si>
    <t>Nota final</t>
  </si>
  <si>
    <t>Estado</t>
  </si>
  <si>
    <t>Observaciones</t>
  </si>
  <si>
    <t>ALU-001</t>
  </si>
  <si>
    <t>Lucía Martín</t>
  </si>
  <si>
    <t>Cálculo Numérico</t>
  </si>
  <si>
    <t>G2</t>
  </si>
  <si>
    <t>Debe mejorar la justificación de errores</t>
  </si>
  <si>
    <t>Sistemas Digitales</t>
  </si>
  <si>
    <t>G3</t>
  </si>
  <si>
    <t>Excelente defensa oral</t>
  </si>
  <si>
    <t>Termodinámica Aplicada</t>
  </si>
  <si>
    <t>G4</t>
  </si>
  <si>
    <t>Buen progreso en laboratorio</t>
  </si>
  <si>
    <t>Robótica Móvil</t>
  </si>
  <si>
    <t>G1</t>
  </si>
  <si>
    <t>Aprobado ajustado</t>
  </si>
  <si>
    <t>Redes Industriales</t>
  </si>
  <si>
    <t>Prototipo muy robusto</t>
  </si>
  <si>
    <t>ALU-002</t>
  </si>
  <si>
    <t>Javier Ruiz</t>
  </si>
  <si>
    <t>Capturas bien documentadas</t>
  </si>
  <si>
    <t>ALU-003</t>
  </si>
  <si>
    <t>María López</t>
  </si>
  <si>
    <t>Necesita reforzar prácticas</t>
  </si>
  <si>
    <t>ALU-004</t>
  </si>
  <si>
    <t>Álvaro Sánchez</t>
  </si>
  <si>
    <t>Participación constante</t>
  </si>
  <si>
    <t>ALU-005</t>
  </si>
  <si>
    <t>Nerea García</t>
  </si>
  <si>
    <t>Gran mejora en el segundo parcial</t>
  </si>
  <si>
    <t>ALU-006</t>
  </si>
  <si>
    <t>Hugo Fernández</t>
  </si>
  <si>
    <t>Trabajo en equipo destacable</t>
  </si>
  <si>
    <t>ALU-007</t>
  </si>
  <si>
    <t>Carmen Ortega</t>
  </si>
  <si>
    <t>Revisar unidades y cifras significativas</t>
  </si>
  <si>
    <t>ALU-008</t>
  </si>
  <si>
    <t>Pablo Navarro</t>
  </si>
  <si>
    <t>Muy buen informe final</t>
  </si>
  <si>
    <t>ALU-009</t>
  </si>
  <si>
    <t>Sara Romero</t>
  </si>
  <si>
    <t>ALU-010</t>
  </si>
  <si>
    <t>Diego Molina</t>
  </si>
  <si>
    <t>ALU-011</t>
  </si>
  <si>
    <t>Irene Castro</t>
  </si>
  <si>
    <t>ALU-012</t>
  </si>
  <si>
    <t>Mateo Vidal</t>
  </si>
  <si>
    <t>ALU-013</t>
  </si>
  <si>
    <t>Elena Domínguez</t>
  </si>
  <si>
    <t>ALU-014</t>
  </si>
  <si>
    <t>Adrián Serrano</t>
  </si>
  <si>
    <t>ALU-015</t>
  </si>
  <si>
    <t>Paula Ibáñez</t>
  </si>
  <si>
    <t>ALU-016</t>
  </si>
  <si>
    <t>Bruno León</t>
  </si>
  <si>
    <t>ALU-017</t>
  </si>
  <si>
    <t>Clara Suárez</t>
  </si>
  <si>
    <t>ALU-018</t>
  </si>
  <si>
    <t>Daniel Prieto</t>
  </si>
  <si>
    <t>ALU-019</t>
  </si>
  <si>
    <t>Marta Vega</t>
  </si>
  <si>
    <t>ALU-020</t>
  </si>
  <si>
    <t>Iván Campos</t>
  </si>
  <si>
    <t>ALU-021</t>
  </si>
  <si>
    <t>Sofía Herrera</t>
  </si>
  <si>
    <t>ALU-022</t>
  </si>
  <si>
    <t>Raúl Pardo</t>
  </si>
  <si>
    <t>ALU-023</t>
  </si>
  <si>
    <t>Noa Gil</t>
  </si>
  <si>
    <t>ALU-024</t>
  </si>
  <si>
    <t>Óscar Medina</t>
  </si>
  <si>
    <t>ALU-025</t>
  </si>
  <si>
    <t>Julia Fuentes</t>
  </si>
  <si>
    <t>ALU-026</t>
  </si>
  <si>
    <t>Leo Bravo</t>
  </si>
  <si>
    <t>ALU-027</t>
  </si>
  <si>
    <t>Valeria Nieto</t>
  </si>
  <si>
    <t>ALU-028</t>
  </si>
  <si>
    <t>Mario Reyes</t>
  </si>
  <si>
    <t>ALU-029</t>
  </si>
  <si>
    <t>Aitana Soler</t>
  </si>
  <si>
    <t>ALU-030</t>
  </si>
  <si>
    <t>Gonzalo Arias</t>
  </si>
  <si>
    <t>ALU-031</t>
  </si>
  <si>
    <t>Eva Pascual</t>
  </si>
  <si>
    <t>ALU-032</t>
  </si>
  <si>
    <t>Enzo Márquez</t>
  </si>
  <si>
    <t>ALU-033</t>
  </si>
  <si>
    <t>Laura Ríos</t>
  </si>
  <si>
    <t>ALU-034</t>
  </si>
  <si>
    <t>Nicolás Cano</t>
  </si>
  <si>
    <t>ALU-035</t>
  </si>
  <si>
    <t>Alba Torres</t>
  </si>
  <si>
    <t>ALU-036</t>
  </si>
  <si>
    <t>Eric Salas</t>
  </si>
  <si>
    <t>ALU-037</t>
  </si>
  <si>
    <t>Olivia Peña</t>
  </si>
  <si>
    <t>ALU-038</t>
  </si>
  <si>
    <t>Víctor Aguilar</t>
  </si>
  <si>
    <t>ALU-039</t>
  </si>
  <si>
    <t>Miriam Santos</t>
  </si>
  <si>
    <t>ALU-040</t>
  </si>
  <si>
    <t>Lucas Ferrer</t>
  </si>
  <si>
    <t>Indicador</t>
  </si>
  <si>
    <t>Valor</t>
  </si>
  <si>
    <t>Registros de calificación</t>
  </si>
  <si>
    <t>Alumnos distintos</t>
  </si>
  <si>
    <t>Asignaturas</t>
  </si>
  <si>
    <t>Media prácticas</t>
  </si>
  <si>
    <t>Media parcial 1</t>
  </si>
  <si>
    <t>Media parcial 2</t>
  </si>
  <si>
    <t>Media proyecto</t>
  </si>
  <si>
    <t>Media nota final</t>
  </si>
  <si>
    <t>Aptos</t>
  </si>
  <si>
    <t>No aptos</t>
  </si>
  <si>
    <t>Asistencia media</t>
  </si>
  <si>
    <t>Entregas retrasadas totales</t>
  </si>
  <si>
    <t>Registros</t>
  </si>
  <si>
    <t>Media final</t>
  </si>
  <si>
    <t>Fecha</t>
  </si>
  <si>
    <t>Tipo</t>
  </si>
  <si>
    <t>Descripción</t>
  </si>
  <si>
    <t>Acción tomada</t>
  </si>
  <si>
    <t>2026-03-03</t>
  </si>
  <si>
    <t>Falta justificada</t>
  </si>
  <si>
    <t>Caso 1: falta justificada registrado durante el seguimiento continuo.</t>
  </si>
  <si>
    <t>Anotado en aula virtual y comunicado al estudiante</t>
  </si>
  <si>
    <t>Cerrado</t>
  </si>
  <si>
    <t>2026-04-05</t>
  </si>
  <si>
    <t>Reentrega</t>
  </si>
  <si>
    <t>Caso 2: reentrega registrado durante el seguimiento continuo.</t>
  </si>
  <si>
    <t>2026-05-07</t>
  </si>
  <si>
    <t>Incidencia técnica</t>
  </si>
  <si>
    <t>Caso 3: incidencia técnica registrado durante el seguimiento continuo.</t>
  </si>
  <si>
    <t>2026-06-09</t>
  </si>
  <si>
    <t>Tutoría recomendada</t>
  </si>
  <si>
    <t>Caso 4: tutoría recomendada registrado durante el seguimiento continuo.</t>
  </si>
  <si>
    <t>Pendiente</t>
  </si>
  <si>
    <t>2026-02-11</t>
  </si>
  <si>
    <t>Retraso</t>
  </si>
  <si>
    <t>Caso 5: retraso registrado durante el seguimiento continuo.</t>
  </si>
  <si>
    <t>2026-03-13</t>
  </si>
  <si>
    <t>Caso 6: falta justificada registrado durante el seguimiento continuo.</t>
  </si>
  <si>
    <t>2026-04-15</t>
  </si>
  <si>
    <t>Caso 7: reentrega registrado durante el seguimiento continuo.</t>
  </si>
  <si>
    <t>2026-05-17</t>
  </si>
  <si>
    <t>Caso 8: incidencia técnica registrado durante el seguimiento continuo.</t>
  </si>
  <si>
    <t>2026-06-19</t>
  </si>
  <si>
    <t>Caso 9: tutoría recomendada registrado durante el seguimiento continuo.</t>
  </si>
  <si>
    <t>2026-02-21</t>
  </si>
  <si>
    <t>Caso 10: retraso registrado durante el seguimiento continuo.</t>
  </si>
  <si>
    <t>2026-03-23</t>
  </si>
  <si>
    <t>Caso 11: falta justificada registrado durante el seguimiento continuo.</t>
  </si>
  <si>
    <t>2026-04-25</t>
  </si>
  <si>
    <t>Caso 12: reentrega registrado durante el seguimiento continuo.</t>
  </si>
  <si>
    <t>2026-05-27</t>
  </si>
  <si>
    <t>Caso 13: incidencia técnica registrado durante el seguimiento continuo.</t>
  </si>
  <si>
    <t>2026-06-01</t>
  </si>
  <si>
    <t>Caso 14: tutoría recomendada registrado durante el seguimiento continuo.</t>
  </si>
  <si>
    <t>2026-02-03</t>
  </si>
  <si>
    <t>Caso 15: retraso registrado durante el seguimiento continuo.</t>
  </si>
  <si>
    <t>2026-03-05</t>
  </si>
  <si>
    <t>Caso 16: falta justificada registrado durante el seguimiento continuo.</t>
  </si>
  <si>
    <t>2026-04-07</t>
  </si>
  <si>
    <t>Caso 17: reentrega registrado durante el seguimiento continuo.</t>
  </si>
  <si>
    <t>2026-05-09</t>
  </si>
  <si>
    <t>Caso 18: incidencia técnica registrado durante el seguimiento continuo.</t>
  </si>
  <si>
    <t>2026-06-11</t>
  </si>
  <si>
    <t>Caso 19: tutoría recomendada registrado durante el seguimiento continuo.</t>
  </si>
  <si>
    <t>2026-02-13</t>
  </si>
  <si>
    <t>Caso 20: retraso registrado durante el seguimiento continuo.</t>
  </si>
  <si>
    <t>2026-03-15</t>
  </si>
  <si>
    <t>Caso 21: falta justificada registrado durante el seguimiento continuo.</t>
  </si>
  <si>
    <t>2026-04-17</t>
  </si>
  <si>
    <t>Caso 22: reentrega registrado durante el seguimiento continuo.</t>
  </si>
  <si>
    <t>2026-05-19</t>
  </si>
  <si>
    <t>Caso 23: incidencia técnica registrado durante el seguimiento continuo.</t>
  </si>
  <si>
    <t>2026-06-21</t>
  </si>
  <si>
    <t>Caso 24: tutoría recomendada registrado durante el seguimiento continuo.</t>
  </si>
  <si>
    <t>2026-02-23</t>
  </si>
  <si>
    <t>Caso 25: retraso registrado durante el seguimiento continuo.</t>
  </si>
  <si>
    <t>2026-03-25</t>
  </si>
  <si>
    <t>Caso 26: falta justificada registrado durante el seguimiento continuo.</t>
  </si>
  <si>
    <t>2026-04-27</t>
  </si>
  <si>
    <t>Caso 27: reentrega registrado durante el seguimiento continuo.</t>
  </si>
  <si>
    <t>2026-05-01</t>
  </si>
  <si>
    <t>Caso 28: incidencia técnica registrado durante el seguimiento continuo.</t>
  </si>
  <si>
    <t>2026-06-03</t>
  </si>
  <si>
    <t>Caso 29: tutoría recomendada registrado durante el seguimiento continuo.</t>
  </si>
  <si>
    <t>2026-02-05</t>
  </si>
  <si>
    <t>Caso 30: retraso registrado durante el seguimiento continuo.</t>
  </si>
  <si>
    <t>2026-03-07</t>
  </si>
  <si>
    <t>Caso 31: falta justificada registrado durante el seguimiento continuo.</t>
  </si>
  <si>
    <t>2026-04-09</t>
  </si>
  <si>
    <t>Caso 32: reentrega registrado durante el seguimiento continuo.</t>
  </si>
  <si>
    <t>2026-05-11</t>
  </si>
  <si>
    <t>Caso 33: incidencia técnica registrado durante el seguimiento continuo.</t>
  </si>
  <si>
    <t>2026-06-13</t>
  </si>
  <si>
    <t>Caso 34: tutoría recomendada registrado durante el seguimiento continuo.</t>
  </si>
  <si>
    <t>2026-02-15</t>
  </si>
  <si>
    <t>Caso 35: retraso registrado durante el seguimiento continuo.</t>
  </si>
  <si>
    <t>2026-03-17</t>
  </si>
  <si>
    <t>Caso 36: falta justificada registrado durante el seguimiento continuo.</t>
  </si>
  <si>
    <t>2026-04-19</t>
  </si>
  <si>
    <t>Caso 37: reentrega registrado durante el seguimiento continuo.</t>
  </si>
  <si>
    <t>2026-05-21</t>
  </si>
  <si>
    <t>Caso 38: incidencia técnica registrado durante el seguimiento continuo.</t>
  </si>
  <si>
    <t>2026-06-23</t>
  </si>
  <si>
    <t>Caso 39: tutoría recomendada registrado durante el seguimiento continuo.</t>
  </si>
  <si>
    <t>2026-02-25</t>
  </si>
  <si>
    <t>Caso 40: retraso registrado durante el seguimiento continuo.</t>
  </si>
  <si>
    <t>2026-03-27</t>
  </si>
  <si>
    <t>Caso 41: falta justificada registrado durante el seguimiento continuo.</t>
  </si>
  <si>
    <t>2026-04-01</t>
  </si>
  <si>
    <t>Caso 42: reentrega registrado durante el seguimiento continuo.</t>
  </si>
  <si>
    <t>2026-05-03</t>
  </si>
  <si>
    <t>Caso 43: incidencia técnica registrado durante el seguimiento continuo.</t>
  </si>
  <si>
    <t>2026-06-05</t>
  </si>
  <si>
    <t>Caso 44: tutoría recomendada registrado durante el seguimiento continuo.</t>
  </si>
  <si>
    <t>2026-02-07</t>
  </si>
  <si>
    <t>Caso 45: retraso registrado durante el seguimiento continuo.</t>
  </si>
  <si>
    <t>2026-03-09</t>
  </si>
  <si>
    <t>Caso 46: falta justificada registrado durante el seguimiento continuo.</t>
  </si>
  <si>
    <t>2026-04-11</t>
  </si>
  <si>
    <t>Caso 47: reentrega registrado durante el seguimiento continuo.</t>
  </si>
  <si>
    <t>2026-05-13</t>
  </si>
  <si>
    <t>Caso 48: incidencia técnica registrado durante el seguimiento continuo.</t>
  </si>
  <si>
    <t>2026-06-15</t>
  </si>
  <si>
    <t>Caso 49: tutoría recomendada registrado durante el seguimiento continuo.</t>
  </si>
  <si>
    <t>2026-02-17</t>
  </si>
  <si>
    <t>Caso 50: retraso registrado durante el seguimiento continuo.</t>
  </si>
  <si>
    <t>2026-03-19</t>
  </si>
  <si>
    <t>Caso 51: falta justificada registrado durante el seguimiento continuo.</t>
  </si>
  <si>
    <t>2026-04-21</t>
  </si>
  <si>
    <t>Caso 52: reentrega registrado durante el seguimiento continuo.</t>
  </si>
  <si>
    <t>2026-05-23</t>
  </si>
  <si>
    <t>Caso 53: incidencia técnica registrado durante el seguimiento continuo.</t>
  </si>
  <si>
    <t>2026-06-25</t>
  </si>
  <si>
    <t>Caso 54: tutoría recomendada registrado durante el seguimiento continuo.</t>
  </si>
  <si>
    <t>2026-02-27</t>
  </si>
  <si>
    <t>Caso 55: retraso registrado durante el seguimiento continuo.</t>
  </si>
  <si>
    <t>2026-03-01</t>
  </si>
  <si>
    <t>Caso 56: falta justificada registrado durante el seguimiento continuo.</t>
  </si>
  <si>
    <t>2026-04-03</t>
  </si>
  <si>
    <t>Caso 57: reentrega registrado durante el seguimiento continuo.</t>
  </si>
  <si>
    <t>2026-05-05</t>
  </si>
  <si>
    <t>Caso 58: incidencia técnica registrado durante el seguimiento continuo.</t>
  </si>
  <si>
    <t>2026-06-07</t>
  </si>
  <si>
    <t>Caso 59: tutoría recomendada registrado durante el seguimiento continuo.</t>
  </si>
  <si>
    <t>2026-02-09</t>
  </si>
  <si>
    <t>Caso 60: retraso registrado durante el seguimiento continuo.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</si>
</sst>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5.7</v>
      </c>
      <c r="F2">
        <v>5.4</v>
      </c>
      <c r="G2">
        <v>5.4</v>
      </c>
      <c r="H2">
        <v>6.4</v>
      </c>
      <c r="I2">
        <v>77</v>
      </c>
      <c r="J2">
        <v>1</v>
      </c>
      <c r="K2">
        <f t="shared" ref="K2:K33" si="0">E2*0.25+F2*0.2+G2*0.2+H2*0.3+I2/100*0.05-J2*0.1</f>
        <v>5.4435000000000002</v>
      </c>
      <c r="L2" t="str">
        <f t="shared" ref="L2:L33" si="1">IF(K2&gt;=5,"Apto","No apto")</f>
        <v>Apto</v>
      </c>
      <c r="M2" t="s">
        <v>17</v>
      </c>
    </row>
    <row r="3" spans="1:13" x14ac:dyDescent="0.2">
      <c r="A3" t="s">
        <v>13</v>
      </c>
      <c r="B3" t="s">
        <v>14</v>
      </c>
      <c r="C3" t="s">
        <v>18</v>
      </c>
      <c r="D3" t="s">
        <v>19</v>
      </c>
      <c r="E3">
        <v>6.2</v>
      </c>
      <c r="F3">
        <v>5.8</v>
      </c>
      <c r="G3">
        <v>6</v>
      </c>
      <c r="H3">
        <v>6.9</v>
      </c>
      <c r="I3">
        <v>81</v>
      </c>
      <c r="J3">
        <v>2</v>
      </c>
      <c r="K3">
        <f t="shared" si="0"/>
        <v>5.8205</v>
      </c>
      <c r="L3" t="str">
        <f t="shared" si="1"/>
        <v>Apto</v>
      </c>
      <c r="M3" t="s">
        <v>20</v>
      </c>
    </row>
    <row r="4" spans="1:13" x14ac:dyDescent="0.2">
      <c r="A4" t="s">
        <v>13</v>
      </c>
      <c r="B4" t="s">
        <v>14</v>
      </c>
      <c r="C4" t="s">
        <v>21</v>
      </c>
      <c r="D4" t="s">
        <v>22</v>
      </c>
      <c r="E4">
        <v>6.8</v>
      </c>
      <c r="F4">
        <v>6.3</v>
      </c>
      <c r="G4">
        <v>6.6</v>
      </c>
      <c r="H4">
        <v>6.3</v>
      </c>
      <c r="I4">
        <v>85</v>
      </c>
      <c r="J4">
        <v>3</v>
      </c>
      <c r="K4">
        <f t="shared" si="0"/>
        <v>5.9125000000000005</v>
      </c>
      <c r="L4" t="str">
        <f t="shared" si="1"/>
        <v>Apto</v>
      </c>
      <c r="M4" t="s">
        <v>23</v>
      </c>
    </row>
    <row r="5" spans="1:13" x14ac:dyDescent="0.2">
      <c r="A5" t="s">
        <v>13</v>
      </c>
      <c r="B5" t="s">
        <v>14</v>
      </c>
      <c r="C5" t="s">
        <v>24</v>
      </c>
      <c r="D5" t="s">
        <v>25</v>
      </c>
      <c r="E5">
        <v>7.3</v>
      </c>
      <c r="F5">
        <v>6.8</v>
      </c>
      <c r="G5">
        <v>6.1</v>
      </c>
      <c r="H5">
        <v>6.8</v>
      </c>
      <c r="I5">
        <v>89</v>
      </c>
      <c r="J5">
        <v>0</v>
      </c>
      <c r="K5">
        <f t="shared" si="0"/>
        <v>6.4895000000000005</v>
      </c>
      <c r="L5" t="str">
        <f t="shared" si="1"/>
        <v>Apto</v>
      </c>
      <c r="M5" t="s">
        <v>26</v>
      </c>
    </row>
    <row r="6" spans="1:13" x14ac:dyDescent="0.2">
      <c r="A6" t="s">
        <v>13</v>
      </c>
      <c r="B6" t="s">
        <v>14</v>
      </c>
      <c r="C6" t="s">
        <v>27</v>
      </c>
      <c r="D6" t="s">
        <v>16</v>
      </c>
      <c r="E6">
        <v>6.6</v>
      </c>
      <c r="F6">
        <v>6.2</v>
      </c>
      <c r="G6">
        <v>6.7</v>
      </c>
      <c r="H6">
        <v>7.3</v>
      </c>
      <c r="I6">
        <v>93</v>
      </c>
      <c r="J6">
        <v>1</v>
      </c>
      <c r="K6">
        <f t="shared" si="0"/>
        <v>6.3665000000000003</v>
      </c>
      <c r="L6" t="str">
        <f t="shared" si="1"/>
        <v>Apto</v>
      </c>
      <c r="M6" t="s">
        <v>28</v>
      </c>
    </row>
    <row r="7" spans="1:13" x14ac:dyDescent="0.2">
      <c r="A7" t="s">
        <v>29</v>
      </c>
      <c r="B7" t="s">
        <v>30</v>
      </c>
      <c r="C7" t="s">
        <v>15</v>
      </c>
      <c r="D7" t="s">
        <v>19</v>
      </c>
      <c r="E7">
        <v>6.6</v>
      </c>
      <c r="F7">
        <v>6.4</v>
      </c>
      <c r="G7">
        <v>6.2</v>
      </c>
      <c r="H7">
        <v>6.6</v>
      </c>
      <c r="I7">
        <v>82</v>
      </c>
      <c r="J7">
        <v>2</v>
      </c>
      <c r="K7">
        <f t="shared" si="0"/>
        <v>5.9909999999999997</v>
      </c>
      <c r="L7" t="str">
        <f t="shared" si="1"/>
        <v>Apto</v>
      </c>
      <c r="M7" t="s">
        <v>20</v>
      </c>
    </row>
    <row r="8" spans="1:13" x14ac:dyDescent="0.2">
      <c r="A8" t="s">
        <v>29</v>
      </c>
      <c r="B8" t="s">
        <v>30</v>
      </c>
      <c r="C8" t="s">
        <v>18</v>
      </c>
      <c r="D8" t="s">
        <v>22</v>
      </c>
      <c r="E8">
        <v>7.2</v>
      </c>
      <c r="F8">
        <v>6.9</v>
      </c>
      <c r="G8">
        <v>6.8</v>
      </c>
      <c r="H8">
        <v>7.1</v>
      </c>
      <c r="I8">
        <v>86</v>
      </c>
      <c r="J8">
        <v>3</v>
      </c>
      <c r="K8">
        <f t="shared" si="0"/>
        <v>6.4130000000000003</v>
      </c>
      <c r="L8" t="str">
        <f t="shared" si="1"/>
        <v>Apto</v>
      </c>
      <c r="M8" t="s">
        <v>23</v>
      </c>
    </row>
    <row r="9" spans="1:13" x14ac:dyDescent="0.2">
      <c r="A9" t="s">
        <v>29</v>
      </c>
      <c r="B9" t="s">
        <v>30</v>
      </c>
      <c r="C9" t="s">
        <v>21</v>
      </c>
      <c r="D9" t="s">
        <v>25</v>
      </c>
      <c r="E9">
        <v>7.7</v>
      </c>
      <c r="F9">
        <v>6.3</v>
      </c>
      <c r="G9">
        <v>7.5</v>
      </c>
      <c r="H9">
        <v>7.7</v>
      </c>
      <c r="I9">
        <v>90</v>
      </c>
      <c r="J9">
        <v>0</v>
      </c>
      <c r="K9">
        <f t="shared" si="0"/>
        <v>7.0400000000000009</v>
      </c>
      <c r="L9" t="str">
        <f t="shared" si="1"/>
        <v>Apto</v>
      </c>
      <c r="M9" t="s">
        <v>26</v>
      </c>
    </row>
    <row r="10" spans="1:13" x14ac:dyDescent="0.2">
      <c r="A10" t="s">
        <v>29</v>
      </c>
      <c r="B10" t="s">
        <v>30</v>
      </c>
      <c r="C10" t="s">
        <v>24</v>
      </c>
      <c r="D10" t="s">
        <v>16</v>
      </c>
      <c r="E10">
        <v>7</v>
      </c>
      <c r="F10">
        <v>6.8</v>
      </c>
      <c r="G10">
        <v>7</v>
      </c>
      <c r="H10">
        <v>8.1999999999999993</v>
      </c>
      <c r="I10">
        <v>94</v>
      </c>
      <c r="J10">
        <v>1</v>
      </c>
      <c r="K10">
        <f t="shared" si="0"/>
        <v>6.9170000000000007</v>
      </c>
      <c r="L10" t="str">
        <f t="shared" si="1"/>
        <v>Apto</v>
      </c>
      <c r="M10" t="s">
        <v>28</v>
      </c>
    </row>
    <row r="11" spans="1:13" x14ac:dyDescent="0.2">
      <c r="A11" t="s">
        <v>29</v>
      </c>
      <c r="B11" t="s">
        <v>30</v>
      </c>
      <c r="C11" t="s">
        <v>27</v>
      </c>
      <c r="D11" t="s">
        <v>19</v>
      </c>
      <c r="E11">
        <v>7.6</v>
      </c>
      <c r="F11">
        <v>7.3</v>
      </c>
      <c r="G11">
        <v>7.6</v>
      </c>
      <c r="H11">
        <v>7.6</v>
      </c>
      <c r="I11">
        <v>98</v>
      </c>
      <c r="J11">
        <v>2</v>
      </c>
      <c r="K11">
        <f t="shared" si="0"/>
        <v>7.0090000000000003</v>
      </c>
      <c r="L11" t="str">
        <f t="shared" si="1"/>
        <v>Apto</v>
      </c>
      <c r="M11" t="s">
        <v>31</v>
      </c>
    </row>
    <row r="12" spans="1:13" x14ac:dyDescent="0.2">
      <c r="A12" t="s">
        <v>32</v>
      </c>
      <c r="B12" t="s">
        <v>33</v>
      </c>
      <c r="C12" t="s">
        <v>15</v>
      </c>
      <c r="D12" t="s">
        <v>22</v>
      </c>
      <c r="E12">
        <v>7.6</v>
      </c>
      <c r="F12">
        <v>6.4</v>
      </c>
      <c r="G12">
        <v>7.1</v>
      </c>
      <c r="H12">
        <v>8</v>
      </c>
      <c r="I12">
        <v>87</v>
      </c>
      <c r="J12">
        <v>3</v>
      </c>
      <c r="K12">
        <f t="shared" si="0"/>
        <v>6.7435</v>
      </c>
      <c r="L12" t="str">
        <f t="shared" si="1"/>
        <v>Apto</v>
      </c>
      <c r="M12" t="s">
        <v>23</v>
      </c>
    </row>
    <row r="13" spans="1:13" x14ac:dyDescent="0.2">
      <c r="A13" t="s">
        <v>32</v>
      </c>
      <c r="B13" t="s">
        <v>33</v>
      </c>
      <c r="C13" t="s">
        <v>18</v>
      </c>
      <c r="D13" t="s">
        <v>25</v>
      </c>
      <c r="E13">
        <v>8.1</v>
      </c>
      <c r="F13">
        <v>6.9</v>
      </c>
      <c r="G13">
        <v>7.7</v>
      </c>
      <c r="H13">
        <v>7.4</v>
      </c>
      <c r="I13">
        <v>91</v>
      </c>
      <c r="J13">
        <v>0</v>
      </c>
      <c r="K13">
        <f t="shared" si="0"/>
        <v>7.2105000000000006</v>
      </c>
      <c r="L13" t="str">
        <f t="shared" si="1"/>
        <v>Apto</v>
      </c>
      <c r="M13" t="s">
        <v>26</v>
      </c>
    </row>
    <row r="14" spans="1:13" x14ac:dyDescent="0.2">
      <c r="A14" t="s">
        <v>32</v>
      </c>
      <c r="B14" t="s">
        <v>33</v>
      </c>
      <c r="C14" t="s">
        <v>21</v>
      </c>
      <c r="D14" t="s">
        <v>16</v>
      </c>
      <c r="E14">
        <v>7.4</v>
      </c>
      <c r="F14">
        <v>7.4</v>
      </c>
      <c r="G14">
        <v>7.2</v>
      </c>
      <c r="H14">
        <v>7.9</v>
      </c>
      <c r="I14">
        <v>95</v>
      </c>
      <c r="J14">
        <v>1</v>
      </c>
      <c r="K14">
        <f t="shared" si="0"/>
        <v>7.0875000000000012</v>
      </c>
      <c r="L14" t="str">
        <f t="shared" si="1"/>
        <v>Apto</v>
      </c>
      <c r="M14" t="s">
        <v>28</v>
      </c>
    </row>
    <row r="15" spans="1:13" x14ac:dyDescent="0.2">
      <c r="A15" t="s">
        <v>32</v>
      </c>
      <c r="B15" t="s">
        <v>33</v>
      </c>
      <c r="C15" t="s">
        <v>24</v>
      </c>
      <c r="D15" t="s">
        <v>19</v>
      </c>
      <c r="E15">
        <v>8</v>
      </c>
      <c r="F15">
        <v>7.8</v>
      </c>
      <c r="G15">
        <v>7.8</v>
      </c>
      <c r="H15">
        <v>8.4</v>
      </c>
      <c r="I15">
        <v>99</v>
      </c>
      <c r="J15">
        <v>2</v>
      </c>
      <c r="K15">
        <f t="shared" si="0"/>
        <v>7.4895000000000005</v>
      </c>
      <c r="L15" t="str">
        <f t="shared" si="1"/>
        <v>Apto</v>
      </c>
      <c r="M15" t="s">
        <v>31</v>
      </c>
    </row>
    <row r="16" spans="1:13" x14ac:dyDescent="0.2">
      <c r="A16" t="s">
        <v>32</v>
      </c>
      <c r="B16" t="s">
        <v>33</v>
      </c>
      <c r="C16" t="s">
        <v>27</v>
      </c>
      <c r="D16" t="s">
        <v>22</v>
      </c>
      <c r="E16">
        <v>8.5</v>
      </c>
      <c r="F16">
        <v>8.3000000000000007</v>
      </c>
      <c r="G16">
        <v>8.4</v>
      </c>
      <c r="H16">
        <v>9</v>
      </c>
      <c r="I16">
        <v>74</v>
      </c>
      <c r="J16">
        <v>3</v>
      </c>
      <c r="K16">
        <f t="shared" si="0"/>
        <v>7.9020000000000001</v>
      </c>
      <c r="L16" t="str">
        <f t="shared" si="1"/>
        <v>Apto</v>
      </c>
      <c r="M16" t="s">
        <v>34</v>
      </c>
    </row>
    <row r="17" spans="1:13" x14ac:dyDescent="0.2">
      <c r="A17" t="s">
        <v>35</v>
      </c>
      <c r="B17" t="s">
        <v>36</v>
      </c>
      <c r="C17" t="s">
        <v>15</v>
      </c>
      <c r="D17" t="s">
        <v>25</v>
      </c>
      <c r="E17">
        <v>8.5</v>
      </c>
      <c r="F17">
        <v>7.5</v>
      </c>
      <c r="G17">
        <v>7.9</v>
      </c>
      <c r="H17">
        <v>8.1999999999999993</v>
      </c>
      <c r="I17">
        <v>92</v>
      </c>
      <c r="J17">
        <v>0</v>
      </c>
      <c r="K17">
        <f t="shared" si="0"/>
        <v>7.7109999999999994</v>
      </c>
      <c r="L17" t="str">
        <f t="shared" si="1"/>
        <v>Apto</v>
      </c>
      <c r="M17" t="s">
        <v>26</v>
      </c>
    </row>
    <row r="18" spans="1:13" x14ac:dyDescent="0.2">
      <c r="A18" t="s">
        <v>35</v>
      </c>
      <c r="B18" t="s">
        <v>36</v>
      </c>
      <c r="C18" t="s">
        <v>18</v>
      </c>
      <c r="D18" t="s">
        <v>16</v>
      </c>
      <c r="E18">
        <v>7.8</v>
      </c>
      <c r="F18">
        <v>7.9</v>
      </c>
      <c r="G18">
        <v>8.6</v>
      </c>
      <c r="H18">
        <v>8.8000000000000007</v>
      </c>
      <c r="I18">
        <v>96</v>
      </c>
      <c r="J18">
        <v>1</v>
      </c>
      <c r="K18">
        <f t="shared" si="0"/>
        <v>7.838000000000001</v>
      </c>
      <c r="L18" t="str">
        <f t="shared" si="1"/>
        <v>Apto</v>
      </c>
      <c r="M18" t="s">
        <v>28</v>
      </c>
    </row>
    <row r="19" spans="1:13" x14ac:dyDescent="0.2">
      <c r="A19" t="s">
        <v>35</v>
      </c>
      <c r="B19" t="s">
        <v>36</v>
      </c>
      <c r="C19" t="s">
        <v>21</v>
      </c>
      <c r="D19" t="s">
        <v>19</v>
      </c>
      <c r="E19">
        <v>8.3000000000000007</v>
      </c>
      <c r="F19">
        <v>8.4</v>
      </c>
      <c r="G19">
        <v>8.1</v>
      </c>
      <c r="H19">
        <v>9.3000000000000007</v>
      </c>
      <c r="I19">
        <v>100</v>
      </c>
      <c r="J19">
        <v>2</v>
      </c>
      <c r="K19">
        <f t="shared" si="0"/>
        <v>8.0150000000000006</v>
      </c>
      <c r="L19" t="str">
        <f t="shared" si="1"/>
        <v>Apto</v>
      </c>
      <c r="M19" t="s">
        <v>31</v>
      </c>
    </row>
    <row r="20" spans="1:13" x14ac:dyDescent="0.2">
      <c r="A20" t="s">
        <v>35</v>
      </c>
      <c r="B20" t="s">
        <v>36</v>
      </c>
      <c r="C20" t="s">
        <v>24</v>
      </c>
      <c r="D20" t="s">
        <v>22</v>
      </c>
      <c r="E20">
        <v>8.9</v>
      </c>
      <c r="F20">
        <v>8.9</v>
      </c>
      <c r="G20">
        <v>8.6999999999999993</v>
      </c>
      <c r="H20">
        <v>8.6999999999999993</v>
      </c>
      <c r="I20">
        <v>75</v>
      </c>
      <c r="J20">
        <v>3</v>
      </c>
      <c r="K20">
        <f t="shared" si="0"/>
        <v>8.0924999999999994</v>
      </c>
      <c r="L20" t="str">
        <f t="shared" si="1"/>
        <v>Apto</v>
      </c>
      <c r="M20" t="s">
        <v>34</v>
      </c>
    </row>
    <row r="21" spans="1:13" x14ac:dyDescent="0.2">
      <c r="A21" t="s">
        <v>35</v>
      </c>
      <c r="B21" t="s">
        <v>36</v>
      </c>
      <c r="C21" t="s">
        <v>27</v>
      </c>
      <c r="D21" t="s">
        <v>25</v>
      </c>
      <c r="E21">
        <v>9.4</v>
      </c>
      <c r="F21">
        <v>8.3000000000000007</v>
      </c>
      <c r="G21">
        <v>9.3000000000000007</v>
      </c>
      <c r="H21">
        <v>9.1999999999999993</v>
      </c>
      <c r="I21">
        <v>79</v>
      </c>
      <c r="J21">
        <v>0</v>
      </c>
      <c r="K21">
        <f t="shared" si="0"/>
        <v>8.6694999999999993</v>
      </c>
      <c r="L21" t="str">
        <f t="shared" si="1"/>
        <v>Apto</v>
      </c>
      <c r="M21" t="s">
        <v>37</v>
      </c>
    </row>
    <row r="22" spans="1:13" x14ac:dyDescent="0.2">
      <c r="A22" t="s">
        <v>38</v>
      </c>
      <c r="B22" t="s">
        <v>39</v>
      </c>
      <c r="C22" t="s">
        <v>15</v>
      </c>
      <c r="D22" t="s">
        <v>16</v>
      </c>
      <c r="E22">
        <v>8.1999999999999993</v>
      </c>
      <c r="F22">
        <v>8.5</v>
      </c>
      <c r="G22">
        <v>8.8000000000000007</v>
      </c>
      <c r="H22">
        <v>8.5</v>
      </c>
      <c r="I22">
        <v>97</v>
      </c>
      <c r="J22">
        <v>1</v>
      </c>
      <c r="K22">
        <f t="shared" si="0"/>
        <v>8.0084999999999997</v>
      </c>
      <c r="L22" t="str">
        <f t="shared" si="1"/>
        <v>Apto</v>
      </c>
      <c r="M22" t="s">
        <v>28</v>
      </c>
    </row>
    <row r="23" spans="1:13" x14ac:dyDescent="0.2">
      <c r="A23" t="s">
        <v>38</v>
      </c>
      <c r="B23" t="s">
        <v>39</v>
      </c>
      <c r="C23" t="s">
        <v>18</v>
      </c>
      <c r="D23" t="s">
        <v>19</v>
      </c>
      <c r="E23">
        <v>8.8000000000000007</v>
      </c>
      <c r="F23">
        <v>9</v>
      </c>
      <c r="G23">
        <v>8.3000000000000007</v>
      </c>
      <c r="H23">
        <v>9</v>
      </c>
      <c r="I23">
        <v>72</v>
      </c>
      <c r="J23">
        <v>2</v>
      </c>
      <c r="K23">
        <f t="shared" si="0"/>
        <v>8.1959999999999997</v>
      </c>
      <c r="L23" t="str">
        <f t="shared" si="1"/>
        <v>Apto</v>
      </c>
      <c r="M23" t="s">
        <v>31</v>
      </c>
    </row>
    <row r="24" spans="1:13" x14ac:dyDescent="0.2">
      <c r="A24" t="s">
        <v>38</v>
      </c>
      <c r="B24" t="s">
        <v>39</v>
      </c>
      <c r="C24" t="s">
        <v>21</v>
      </c>
      <c r="D24" t="s">
        <v>22</v>
      </c>
      <c r="E24">
        <v>9.3000000000000007</v>
      </c>
      <c r="F24">
        <v>8.4</v>
      </c>
      <c r="G24">
        <v>8.9</v>
      </c>
      <c r="H24">
        <v>9.5</v>
      </c>
      <c r="I24">
        <v>76</v>
      </c>
      <c r="J24">
        <v>3</v>
      </c>
      <c r="K24">
        <f t="shared" si="0"/>
        <v>8.3730000000000011</v>
      </c>
      <c r="L24" t="str">
        <f t="shared" si="1"/>
        <v>Apto</v>
      </c>
      <c r="M24" t="s">
        <v>34</v>
      </c>
    </row>
    <row r="25" spans="1:13" x14ac:dyDescent="0.2">
      <c r="A25" t="s">
        <v>38</v>
      </c>
      <c r="B25" t="s">
        <v>39</v>
      </c>
      <c r="C25" t="s">
        <v>24</v>
      </c>
      <c r="D25" t="s">
        <v>25</v>
      </c>
      <c r="E25">
        <v>9.9</v>
      </c>
      <c r="F25">
        <v>8.9</v>
      </c>
      <c r="G25">
        <v>9.5</v>
      </c>
      <c r="H25">
        <v>10</v>
      </c>
      <c r="I25">
        <v>80</v>
      </c>
      <c r="J25">
        <v>0</v>
      </c>
      <c r="K25">
        <f t="shared" si="0"/>
        <v>9.1950000000000003</v>
      </c>
      <c r="L25" t="str">
        <f t="shared" si="1"/>
        <v>Apto</v>
      </c>
      <c r="M25" t="s">
        <v>37</v>
      </c>
    </row>
    <row r="26" spans="1:13" x14ac:dyDescent="0.2">
      <c r="A26" t="s">
        <v>38</v>
      </c>
      <c r="B26" t="s">
        <v>39</v>
      </c>
      <c r="C26" t="s">
        <v>27</v>
      </c>
      <c r="D26" t="s">
        <v>16</v>
      </c>
      <c r="E26">
        <v>10</v>
      </c>
      <c r="F26">
        <v>9.4</v>
      </c>
      <c r="G26">
        <v>10</v>
      </c>
      <c r="H26">
        <v>10</v>
      </c>
      <c r="I26">
        <v>84</v>
      </c>
      <c r="J26">
        <v>1</v>
      </c>
      <c r="K26">
        <f t="shared" si="0"/>
        <v>9.3219999999999992</v>
      </c>
      <c r="L26" t="str">
        <f t="shared" si="1"/>
        <v>Apto</v>
      </c>
      <c r="M26" t="s">
        <v>40</v>
      </c>
    </row>
    <row r="27" spans="1:13" x14ac:dyDescent="0.2">
      <c r="A27" t="s">
        <v>41</v>
      </c>
      <c r="B27" t="s">
        <v>42</v>
      </c>
      <c r="C27" t="s">
        <v>15</v>
      </c>
      <c r="D27" t="s">
        <v>19</v>
      </c>
      <c r="E27">
        <v>9.1999999999999993</v>
      </c>
      <c r="F27">
        <v>8.5</v>
      </c>
      <c r="G27">
        <v>9.6999999999999993</v>
      </c>
      <c r="H27">
        <v>9.9</v>
      </c>
      <c r="I27">
        <v>73</v>
      </c>
      <c r="J27">
        <v>2</v>
      </c>
      <c r="K27">
        <f t="shared" si="0"/>
        <v>8.7465000000000011</v>
      </c>
      <c r="L27" t="str">
        <f t="shared" si="1"/>
        <v>Apto</v>
      </c>
      <c r="M27" t="s">
        <v>31</v>
      </c>
    </row>
    <row r="28" spans="1:13" x14ac:dyDescent="0.2">
      <c r="A28" t="s">
        <v>41</v>
      </c>
      <c r="B28" t="s">
        <v>42</v>
      </c>
      <c r="C28" t="s">
        <v>18</v>
      </c>
      <c r="D28" t="s">
        <v>22</v>
      </c>
      <c r="E28">
        <v>9.6999999999999993</v>
      </c>
      <c r="F28">
        <v>9</v>
      </c>
      <c r="G28">
        <v>9.1999999999999993</v>
      </c>
      <c r="H28">
        <v>10</v>
      </c>
      <c r="I28">
        <v>77</v>
      </c>
      <c r="J28">
        <v>3</v>
      </c>
      <c r="K28">
        <f t="shared" si="0"/>
        <v>8.8034999999999997</v>
      </c>
      <c r="L28" t="str">
        <f t="shared" si="1"/>
        <v>Apto</v>
      </c>
      <c r="M28" t="s">
        <v>34</v>
      </c>
    </row>
    <row r="29" spans="1:13" x14ac:dyDescent="0.2">
      <c r="A29" t="s">
        <v>41</v>
      </c>
      <c r="B29" t="s">
        <v>42</v>
      </c>
      <c r="C29" t="s">
        <v>21</v>
      </c>
      <c r="D29" t="s">
        <v>25</v>
      </c>
      <c r="E29">
        <v>10</v>
      </c>
      <c r="F29">
        <v>9.5</v>
      </c>
      <c r="G29">
        <v>9.8000000000000007</v>
      </c>
      <c r="H29">
        <v>9.8000000000000007</v>
      </c>
      <c r="I29">
        <v>81</v>
      </c>
      <c r="J29">
        <v>0</v>
      </c>
      <c r="K29">
        <f t="shared" si="0"/>
        <v>9.3405000000000005</v>
      </c>
      <c r="L29" t="str">
        <f t="shared" si="1"/>
        <v>Apto</v>
      </c>
      <c r="M29" t="s">
        <v>37</v>
      </c>
    </row>
    <row r="30" spans="1:13" x14ac:dyDescent="0.2">
      <c r="A30" t="s">
        <v>41</v>
      </c>
      <c r="B30" t="s">
        <v>42</v>
      </c>
      <c r="C30" t="s">
        <v>24</v>
      </c>
      <c r="D30" t="s">
        <v>16</v>
      </c>
      <c r="E30">
        <v>5.7</v>
      </c>
      <c r="F30">
        <v>4.8</v>
      </c>
      <c r="G30">
        <v>5.3</v>
      </c>
      <c r="H30">
        <v>5.2</v>
      </c>
      <c r="I30">
        <v>85</v>
      </c>
      <c r="J30">
        <v>1</v>
      </c>
      <c r="K30">
        <f t="shared" si="0"/>
        <v>4.9475000000000007</v>
      </c>
      <c r="L30" t="str">
        <f t="shared" si="1"/>
        <v>No apto</v>
      </c>
      <c r="M30" t="s">
        <v>40</v>
      </c>
    </row>
    <row r="31" spans="1:13" x14ac:dyDescent="0.2">
      <c r="A31" t="s">
        <v>41</v>
      </c>
      <c r="B31" t="s">
        <v>42</v>
      </c>
      <c r="C31" t="s">
        <v>27</v>
      </c>
      <c r="D31" t="s">
        <v>19</v>
      </c>
      <c r="E31">
        <v>5</v>
      </c>
      <c r="F31">
        <v>5.3</v>
      </c>
      <c r="G31">
        <v>4.8</v>
      </c>
      <c r="H31">
        <v>5.7</v>
      </c>
      <c r="I31">
        <v>89</v>
      </c>
      <c r="J31">
        <v>2</v>
      </c>
      <c r="K31">
        <f t="shared" si="0"/>
        <v>4.8245000000000005</v>
      </c>
      <c r="L31" t="str">
        <f t="shared" si="1"/>
        <v>No apto</v>
      </c>
      <c r="M31" t="s">
        <v>43</v>
      </c>
    </row>
    <row r="32" spans="1:13" x14ac:dyDescent="0.2">
      <c r="A32" t="s">
        <v>44</v>
      </c>
      <c r="B32" t="s">
        <v>45</v>
      </c>
      <c r="C32" t="s">
        <v>15</v>
      </c>
      <c r="D32" t="s">
        <v>22</v>
      </c>
      <c r="E32">
        <v>10</v>
      </c>
      <c r="F32">
        <v>9.6</v>
      </c>
      <c r="G32">
        <v>9.4</v>
      </c>
      <c r="H32">
        <v>10</v>
      </c>
      <c r="I32">
        <v>78</v>
      </c>
      <c r="J32">
        <v>3</v>
      </c>
      <c r="K32">
        <f t="shared" si="0"/>
        <v>9.0389999999999997</v>
      </c>
      <c r="L32" t="str">
        <f t="shared" si="1"/>
        <v>Apto</v>
      </c>
      <c r="M32" t="s">
        <v>34</v>
      </c>
    </row>
    <row r="33" spans="1:13" x14ac:dyDescent="0.2">
      <c r="A33" t="s">
        <v>44</v>
      </c>
      <c r="B33" t="s">
        <v>45</v>
      </c>
      <c r="C33" t="s">
        <v>18</v>
      </c>
      <c r="D33" t="s">
        <v>25</v>
      </c>
      <c r="E33">
        <v>5.5</v>
      </c>
      <c r="F33">
        <v>4.9000000000000004</v>
      </c>
      <c r="G33">
        <v>4.9000000000000004</v>
      </c>
      <c r="H33">
        <v>5.5</v>
      </c>
      <c r="I33">
        <v>82</v>
      </c>
      <c r="J33">
        <v>0</v>
      </c>
      <c r="K33">
        <f t="shared" si="0"/>
        <v>5.0259999999999998</v>
      </c>
      <c r="L33" t="str">
        <f t="shared" si="1"/>
        <v>Apto</v>
      </c>
      <c r="M33" t="s">
        <v>37</v>
      </c>
    </row>
    <row r="34" spans="1:13" x14ac:dyDescent="0.2">
      <c r="A34" t="s">
        <v>44</v>
      </c>
      <c r="B34" t="s">
        <v>45</v>
      </c>
      <c r="C34" t="s">
        <v>21</v>
      </c>
      <c r="D34" t="s">
        <v>16</v>
      </c>
      <c r="E34">
        <v>6.1</v>
      </c>
      <c r="F34">
        <v>5.4</v>
      </c>
      <c r="G34">
        <v>5.5</v>
      </c>
      <c r="H34">
        <v>6.1</v>
      </c>
      <c r="I34">
        <v>86</v>
      </c>
      <c r="J34">
        <v>1</v>
      </c>
      <c r="K34">
        <f t="shared" ref="K34:K65" si="2">E34*0.25+F34*0.2+G34*0.2+H34*0.3+I34/100*0.05-J34*0.1</f>
        <v>5.4780000000000006</v>
      </c>
      <c r="L34" t="str">
        <f t="shared" ref="L34:L65" si="3">IF(K34&gt;=5,"Apto","No apto")</f>
        <v>Apto</v>
      </c>
      <c r="M34" t="s">
        <v>40</v>
      </c>
    </row>
    <row r="35" spans="1:13" x14ac:dyDescent="0.2">
      <c r="A35" t="s">
        <v>44</v>
      </c>
      <c r="B35" t="s">
        <v>45</v>
      </c>
      <c r="C35" t="s">
        <v>24</v>
      </c>
      <c r="D35" t="s">
        <v>19</v>
      </c>
      <c r="E35">
        <v>5.4</v>
      </c>
      <c r="F35">
        <v>5.9</v>
      </c>
      <c r="G35">
        <v>6.2</v>
      </c>
      <c r="H35">
        <v>6.6</v>
      </c>
      <c r="I35">
        <v>90</v>
      </c>
      <c r="J35">
        <v>2</v>
      </c>
      <c r="K35">
        <f t="shared" si="2"/>
        <v>5.5949999999999998</v>
      </c>
      <c r="L35" t="str">
        <f t="shared" si="3"/>
        <v>Apto</v>
      </c>
      <c r="M35" t="s">
        <v>43</v>
      </c>
    </row>
    <row r="36" spans="1:13" x14ac:dyDescent="0.2">
      <c r="A36" t="s">
        <v>44</v>
      </c>
      <c r="B36" t="s">
        <v>45</v>
      </c>
      <c r="C36" t="s">
        <v>27</v>
      </c>
      <c r="D36" t="s">
        <v>22</v>
      </c>
      <c r="E36">
        <v>6</v>
      </c>
      <c r="F36">
        <v>5.3</v>
      </c>
      <c r="G36">
        <v>5.7</v>
      </c>
      <c r="H36">
        <v>6</v>
      </c>
      <c r="I36">
        <v>94</v>
      </c>
      <c r="J36">
        <v>3</v>
      </c>
      <c r="K36">
        <f t="shared" si="2"/>
        <v>5.2469999999999999</v>
      </c>
      <c r="L36" t="str">
        <f t="shared" si="3"/>
        <v>Apto</v>
      </c>
      <c r="M36" t="s">
        <v>46</v>
      </c>
    </row>
    <row r="37" spans="1:13" x14ac:dyDescent="0.2">
      <c r="A37" t="s">
        <v>47</v>
      </c>
      <c r="B37" t="s">
        <v>48</v>
      </c>
      <c r="C37" t="s">
        <v>15</v>
      </c>
      <c r="D37" t="s">
        <v>25</v>
      </c>
      <c r="E37">
        <v>6</v>
      </c>
      <c r="F37">
        <v>5.5</v>
      </c>
      <c r="G37">
        <v>5.2</v>
      </c>
      <c r="H37">
        <v>6.4</v>
      </c>
      <c r="I37">
        <v>83</v>
      </c>
      <c r="J37">
        <v>0</v>
      </c>
      <c r="K37">
        <f t="shared" si="2"/>
        <v>5.6015000000000006</v>
      </c>
      <c r="L37" t="str">
        <f t="shared" si="3"/>
        <v>Apto</v>
      </c>
      <c r="M37" t="s">
        <v>37</v>
      </c>
    </row>
    <row r="38" spans="1:13" x14ac:dyDescent="0.2">
      <c r="A38" t="s">
        <v>47</v>
      </c>
      <c r="B38" t="s">
        <v>48</v>
      </c>
      <c r="C38" t="s">
        <v>18</v>
      </c>
      <c r="D38" t="s">
        <v>16</v>
      </c>
      <c r="E38">
        <v>6.5</v>
      </c>
      <c r="F38">
        <v>6</v>
      </c>
      <c r="G38">
        <v>5.8</v>
      </c>
      <c r="H38">
        <v>5.8</v>
      </c>
      <c r="I38">
        <v>87</v>
      </c>
      <c r="J38">
        <v>1</v>
      </c>
      <c r="K38">
        <f t="shared" si="2"/>
        <v>5.6685000000000008</v>
      </c>
      <c r="L38" t="str">
        <f t="shared" si="3"/>
        <v>Apto</v>
      </c>
      <c r="M38" t="s">
        <v>40</v>
      </c>
    </row>
    <row r="39" spans="1:13" x14ac:dyDescent="0.2">
      <c r="A39" t="s">
        <v>47</v>
      </c>
      <c r="B39" t="s">
        <v>48</v>
      </c>
      <c r="C39" t="s">
        <v>21</v>
      </c>
      <c r="D39" t="s">
        <v>19</v>
      </c>
      <c r="E39">
        <v>5.8</v>
      </c>
      <c r="F39">
        <v>5.4</v>
      </c>
      <c r="G39">
        <v>6.4</v>
      </c>
      <c r="H39">
        <v>6.3</v>
      </c>
      <c r="I39">
        <v>91</v>
      </c>
      <c r="J39">
        <v>2</v>
      </c>
      <c r="K39">
        <f t="shared" si="2"/>
        <v>5.5454999999999997</v>
      </c>
      <c r="L39" t="str">
        <f t="shared" si="3"/>
        <v>Apto</v>
      </c>
      <c r="M39" t="s">
        <v>43</v>
      </c>
    </row>
    <row r="40" spans="1:13" x14ac:dyDescent="0.2">
      <c r="A40" t="s">
        <v>47</v>
      </c>
      <c r="B40" t="s">
        <v>48</v>
      </c>
      <c r="C40" t="s">
        <v>24</v>
      </c>
      <c r="D40" t="s">
        <v>22</v>
      </c>
      <c r="E40">
        <v>6.3</v>
      </c>
      <c r="F40">
        <v>5.9</v>
      </c>
      <c r="G40">
        <v>5.9</v>
      </c>
      <c r="H40">
        <v>6.8</v>
      </c>
      <c r="I40">
        <v>95</v>
      </c>
      <c r="J40">
        <v>3</v>
      </c>
      <c r="K40">
        <f t="shared" si="2"/>
        <v>5.7225000000000001</v>
      </c>
      <c r="L40" t="str">
        <f t="shared" si="3"/>
        <v>Apto</v>
      </c>
      <c r="M40" t="s">
        <v>46</v>
      </c>
    </row>
    <row r="41" spans="1:13" x14ac:dyDescent="0.2">
      <c r="A41" t="s">
        <v>47</v>
      </c>
      <c r="B41" t="s">
        <v>48</v>
      </c>
      <c r="C41" t="s">
        <v>27</v>
      </c>
      <c r="D41" t="s">
        <v>25</v>
      </c>
      <c r="E41">
        <v>6.9</v>
      </c>
      <c r="F41">
        <v>6.4</v>
      </c>
      <c r="G41">
        <v>6.5</v>
      </c>
      <c r="H41">
        <v>7.4</v>
      </c>
      <c r="I41">
        <v>99</v>
      </c>
      <c r="J41">
        <v>0</v>
      </c>
      <c r="K41">
        <f t="shared" si="2"/>
        <v>6.5745000000000005</v>
      </c>
      <c r="L41" t="str">
        <f t="shared" si="3"/>
        <v>Apto</v>
      </c>
      <c r="M41" t="s">
        <v>49</v>
      </c>
    </row>
    <row r="42" spans="1:13" x14ac:dyDescent="0.2">
      <c r="A42" t="s">
        <v>50</v>
      </c>
      <c r="B42" t="s">
        <v>51</v>
      </c>
      <c r="C42" t="s">
        <v>15</v>
      </c>
      <c r="D42" t="s">
        <v>16</v>
      </c>
      <c r="E42">
        <v>6.9</v>
      </c>
      <c r="F42">
        <v>5.5</v>
      </c>
      <c r="G42">
        <v>6</v>
      </c>
      <c r="H42">
        <v>6.6</v>
      </c>
      <c r="I42">
        <v>88</v>
      </c>
      <c r="J42">
        <v>1</v>
      </c>
      <c r="K42">
        <f t="shared" si="2"/>
        <v>5.9489999999999998</v>
      </c>
      <c r="L42" t="str">
        <f t="shared" si="3"/>
        <v>Apto</v>
      </c>
      <c r="M42" t="s">
        <v>40</v>
      </c>
    </row>
    <row r="43" spans="1:13" x14ac:dyDescent="0.2">
      <c r="A43" t="s">
        <v>50</v>
      </c>
      <c r="B43" t="s">
        <v>51</v>
      </c>
      <c r="C43" t="s">
        <v>18</v>
      </c>
      <c r="D43" t="s">
        <v>19</v>
      </c>
      <c r="E43">
        <v>6.2</v>
      </c>
      <c r="F43">
        <v>6</v>
      </c>
      <c r="G43">
        <v>6.6</v>
      </c>
      <c r="H43">
        <v>7.2</v>
      </c>
      <c r="I43">
        <v>92</v>
      </c>
      <c r="J43">
        <v>2</v>
      </c>
      <c r="K43">
        <f t="shared" si="2"/>
        <v>6.0760000000000005</v>
      </c>
      <c r="L43" t="str">
        <f t="shared" si="3"/>
        <v>Apto</v>
      </c>
      <c r="M43" t="s">
        <v>43</v>
      </c>
    </row>
    <row r="44" spans="1:13" x14ac:dyDescent="0.2">
      <c r="A44" t="s">
        <v>50</v>
      </c>
      <c r="B44" t="s">
        <v>51</v>
      </c>
      <c r="C44" t="s">
        <v>21</v>
      </c>
      <c r="D44" t="s">
        <v>22</v>
      </c>
      <c r="E44">
        <v>6.8</v>
      </c>
      <c r="F44">
        <v>6.5</v>
      </c>
      <c r="G44">
        <v>7.3</v>
      </c>
      <c r="H44">
        <v>7.7</v>
      </c>
      <c r="I44">
        <v>96</v>
      </c>
      <c r="J44">
        <v>3</v>
      </c>
      <c r="K44">
        <f t="shared" si="2"/>
        <v>6.5179999999999998</v>
      </c>
      <c r="L44" t="str">
        <f t="shared" si="3"/>
        <v>Apto</v>
      </c>
      <c r="M44" t="s">
        <v>46</v>
      </c>
    </row>
    <row r="45" spans="1:13" x14ac:dyDescent="0.2">
      <c r="A45" t="s">
        <v>50</v>
      </c>
      <c r="B45" t="s">
        <v>51</v>
      </c>
      <c r="C45" t="s">
        <v>24</v>
      </c>
      <c r="D45" t="s">
        <v>25</v>
      </c>
      <c r="E45">
        <v>7.3</v>
      </c>
      <c r="F45">
        <v>6.9</v>
      </c>
      <c r="G45">
        <v>6.8</v>
      </c>
      <c r="H45">
        <v>7.1</v>
      </c>
      <c r="I45">
        <v>100</v>
      </c>
      <c r="J45">
        <v>0</v>
      </c>
      <c r="K45">
        <f t="shared" si="2"/>
        <v>6.7450000000000001</v>
      </c>
      <c r="L45" t="str">
        <f t="shared" si="3"/>
        <v>Apto</v>
      </c>
      <c r="M45" t="s">
        <v>49</v>
      </c>
    </row>
    <row r="46" spans="1:13" x14ac:dyDescent="0.2">
      <c r="A46" t="s">
        <v>50</v>
      </c>
      <c r="B46" t="s">
        <v>51</v>
      </c>
      <c r="C46" t="s">
        <v>27</v>
      </c>
      <c r="D46" t="s">
        <v>16</v>
      </c>
      <c r="E46">
        <v>7.8</v>
      </c>
      <c r="F46">
        <v>7.4</v>
      </c>
      <c r="G46">
        <v>7.4</v>
      </c>
      <c r="H46">
        <v>7.6</v>
      </c>
      <c r="I46">
        <v>75</v>
      </c>
      <c r="J46">
        <v>1</v>
      </c>
      <c r="K46">
        <f t="shared" si="2"/>
        <v>7.1274999999999995</v>
      </c>
      <c r="L46" t="str">
        <f t="shared" si="3"/>
        <v>Apto</v>
      </c>
      <c r="M46" t="s">
        <v>17</v>
      </c>
    </row>
    <row r="47" spans="1:13" x14ac:dyDescent="0.2">
      <c r="A47" t="s">
        <v>52</v>
      </c>
      <c r="B47" t="s">
        <v>53</v>
      </c>
      <c r="C47" t="s">
        <v>15</v>
      </c>
      <c r="D47" t="s">
        <v>19</v>
      </c>
      <c r="E47">
        <v>6.6</v>
      </c>
      <c r="F47">
        <v>6.6</v>
      </c>
      <c r="G47">
        <v>6.9</v>
      </c>
      <c r="H47">
        <v>6.9</v>
      </c>
      <c r="I47">
        <v>93</v>
      </c>
      <c r="J47">
        <v>2</v>
      </c>
      <c r="K47">
        <f t="shared" si="2"/>
        <v>6.2664999999999997</v>
      </c>
      <c r="L47" t="str">
        <f t="shared" si="3"/>
        <v>Apto</v>
      </c>
      <c r="M47" t="s">
        <v>43</v>
      </c>
    </row>
    <row r="48" spans="1:13" x14ac:dyDescent="0.2">
      <c r="A48" t="s">
        <v>52</v>
      </c>
      <c r="B48" t="s">
        <v>53</v>
      </c>
      <c r="C48" t="s">
        <v>18</v>
      </c>
      <c r="D48" t="s">
        <v>22</v>
      </c>
      <c r="E48">
        <v>7.2</v>
      </c>
      <c r="F48">
        <v>7</v>
      </c>
      <c r="G48">
        <v>7.5</v>
      </c>
      <c r="H48">
        <v>7.4</v>
      </c>
      <c r="I48">
        <v>97</v>
      </c>
      <c r="J48">
        <v>3</v>
      </c>
      <c r="K48">
        <f t="shared" si="2"/>
        <v>6.6684999999999999</v>
      </c>
      <c r="L48" t="str">
        <f t="shared" si="3"/>
        <v>Apto</v>
      </c>
      <c r="M48" t="s">
        <v>46</v>
      </c>
    </row>
    <row r="49" spans="1:13" x14ac:dyDescent="0.2">
      <c r="A49" t="s">
        <v>52</v>
      </c>
      <c r="B49" t="s">
        <v>53</v>
      </c>
      <c r="C49" t="s">
        <v>21</v>
      </c>
      <c r="D49" t="s">
        <v>25</v>
      </c>
      <c r="E49">
        <v>7.7</v>
      </c>
      <c r="F49">
        <v>7.5</v>
      </c>
      <c r="G49">
        <v>7</v>
      </c>
      <c r="H49">
        <v>7.9</v>
      </c>
      <c r="I49">
        <v>72</v>
      </c>
      <c r="J49">
        <v>0</v>
      </c>
      <c r="K49">
        <f t="shared" si="2"/>
        <v>7.2309999999999999</v>
      </c>
      <c r="L49" t="str">
        <f t="shared" si="3"/>
        <v>Apto</v>
      </c>
      <c r="M49" t="s">
        <v>49</v>
      </c>
    </row>
    <row r="50" spans="1:13" x14ac:dyDescent="0.2">
      <c r="A50" t="s">
        <v>52</v>
      </c>
      <c r="B50" t="s">
        <v>53</v>
      </c>
      <c r="C50" t="s">
        <v>24</v>
      </c>
      <c r="D50" t="s">
        <v>16</v>
      </c>
      <c r="E50">
        <v>8.1999999999999993</v>
      </c>
      <c r="F50">
        <v>8</v>
      </c>
      <c r="G50">
        <v>7.6</v>
      </c>
      <c r="H50">
        <v>8.5</v>
      </c>
      <c r="I50">
        <v>76</v>
      </c>
      <c r="J50">
        <v>1</v>
      </c>
      <c r="K50">
        <f t="shared" si="2"/>
        <v>7.6580000000000004</v>
      </c>
      <c r="L50" t="str">
        <f t="shared" si="3"/>
        <v>Apto</v>
      </c>
      <c r="M50" t="s">
        <v>17</v>
      </c>
    </row>
    <row r="51" spans="1:13" x14ac:dyDescent="0.2">
      <c r="A51" t="s">
        <v>52</v>
      </c>
      <c r="B51" t="s">
        <v>53</v>
      </c>
      <c r="C51" t="s">
        <v>27</v>
      </c>
      <c r="D51" t="s">
        <v>19</v>
      </c>
      <c r="E51">
        <v>8.8000000000000007</v>
      </c>
      <c r="F51">
        <v>7.4</v>
      </c>
      <c r="G51">
        <v>8.1999999999999993</v>
      </c>
      <c r="H51">
        <v>9</v>
      </c>
      <c r="I51">
        <v>80</v>
      </c>
      <c r="J51">
        <v>2</v>
      </c>
      <c r="K51">
        <f t="shared" si="2"/>
        <v>7.8599999999999985</v>
      </c>
      <c r="L51" t="str">
        <f t="shared" si="3"/>
        <v>Apto</v>
      </c>
      <c r="M51" t="s">
        <v>20</v>
      </c>
    </row>
    <row r="52" spans="1:13" x14ac:dyDescent="0.2">
      <c r="A52" t="s">
        <v>54</v>
      </c>
      <c r="B52" t="s">
        <v>55</v>
      </c>
      <c r="C52" t="s">
        <v>15</v>
      </c>
      <c r="D52" t="s">
        <v>22</v>
      </c>
      <c r="E52">
        <v>7.6</v>
      </c>
      <c r="F52">
        <v>7.6</v>
      </c>
      <c r="G52">
        <v>7.7</v>
      </c>
      <c r="H52">
        <v>8.3000000000000007</v>
      </c>
      <c r="I52">
        <v>98</v>
      </c>
      <c r="J52">
        <v>3</v>
      </c>
      <c r="K52">
        <f t="shared" si="2"/>
        <v>7.1990000000000007</v>
      </c>
      <c r="L52" t="str">
        <f t="shared" si="3"/>
        <v>Apto</v>
      </c>
      <c r="M52" t="s">
        <v>46</v>
      </c>
    </row>
    <row r="53" spans="1:13" x14ac:dyDescent="0.2">
      <c r="A53" t="s">
        <v>54</v>
      </c>
      <c r="B53" t="s">
        <v>55</v>
      </c>
      <c r="C53" t="s">
        <v>18</v>
      </c>
      <c r="D53" t="s">
        <v>25</v>
      </c>
      <c r="E53">
        <v>8.1</v>
      </c>
      <c r="F53">
        <v>8.1</v>
      </c>
      <c r="G53">
        <v>8.4</v>
      </c>
      <c r="H53">
        <v>8.8000000000000007</v>
      </c>
      <c r="I53">
        <v>73</v>
      </c>
      <c r="J53">
        <v>0</v>
      </c>
      <c r="K53">
        <f t="shared" si="2"/>
        <v>8.0015000000000001</v>
      </c>
      <c r="L53" t="str">
        <f t="shared" si="3"/>
        <v>Apto</v>
      </c>
      <c r="M53" t="s">
        <v>49</v>
      </c>
    </row>
    <row r="54" spans="1:13" x14ac:dyDescent="0.2">
      <c r="A54" t="s">
        <v>54</v>
      </c>
      <c r="B54" t="s">
        <v>55</v>
      </c>
      <c r="C54" t="s">
        <v>21</v>
      </c>
      <c r="D54" t="s">
        <v>16</v>
      </c>
      <c r="E54">
        <v>8.6999999999999993</v>
      </c>
      <c r="F54">
        <v>7.5</v>
      </c>
      <c r="G54">
        <v>7.9</v>
      </c>
      <c r="H54">
        <v>8.1999999999999993</v>
      </c>
      <c r="I54">
        <v>77</v>
      </c>
      <c r="J54">
        <v>1</v>
      </c>
      <c r="K54">
        <f t="shared" si="2"/>
        <v>7.6535000000000002</v>
      </c>
      <c r="L54" t="str">
        <f t="shared" si="3"/>
        <v>Apto</v>
      </c>
      <c r="M54" t="s">
        <v>17</v>
      </c>
    </row>
    <row r="55" spans="1:13" x14ac:dyDescent="0.2">
      <c r="A55" t="s">
        <v>54</v>
      </c>
      <c r="B55" t="s">
        <v>55</v>
      </c>
      <c r="C55" t="s">
        <v>24</v>
      </c>
      <c r="D55" t="s">
        <v>19</v>
      </c>
      <c r="E55">
        <v>9.1999999999999993</v>
      </c>
      <c r="F55">
        <v>8</v>
      </c>
      <c r="G55">
        <v>8.5</v>
      </c>
      <c r="H55">
        <v>8.6999999999999993</v>
      </c>
      <c r="I55">
        <v>81</v>
      </c>
      <c r="J55">
        <v>2</v>
      </c>
      <c r="K55">
        <f t="shared" si="2"/>
        <v>8.0504999999999995</v>
      </c>
      <c r="L55" t="str">
        <f t="shared" si="3"/>
        <v>Apto</v>
      </c>
      <c r="M55" t="s">
        <v>20</v>
      </c>
    </row>
    <row r="56" spans="1:13" x14ac:dyDescent="0.2">
      <c r="A56" t="s">
        <v>54</v>
      </c>
      <c r="B56" t="s">
        <v>55</v>
      </c>
      <c r="C56" t="s">
        <v>27</v>
      </c>
      <c r="D56" t="s">
        <v>22</v>
      </c>
      <c r="E56">
        <v>8.5</v>
      </c>
      <c r="F56">
        <v>8.5</v>
      </c>
      <c r="G56">
        <v>9.1</v>
      </c>
      <c r="H56">
        <v>9.1999999999999993</v>
      </c>
      <c r="I56">
        <v>85</v>
      </c>
      <c r="J56">
        <v>3</v>
      </c>
      <c r="K56">
        <f t="shared" si="2"/>
        <v>8.1475000000000009</v>
      </c>
      <c r="L56" t="str">
        <f t="shared" si="3"/>
        <v>Apto</v>
      </c>
      <c r="M56" t="s">
        <v>23</v>
      </c>
    </row>
    <row r="57" spans="1:13" x14ac:dyDescent="0.2">
      <c r="A57" t="s">
        <v>56</v>
      </c>
      <c r="B57" t="s">
        <v>57</v>
      </c>
      <c r="C57" t="s">
        <v>15</v>
      </c>
      <c r="D57" t="s">
        <v>25</v>
      </c>
      <c r="E57">
        <v>8.5</v>
      </c>
      <c r="F57">
        <v>7.6</v>
      </c>
      <c r="G57">
        <v>8.6</v>
      </c>
      <c r="H57">
        <v>8.5</v>
      </c>
      <c r="I57">
        <v>74</v>
      </c>
      <c r="J57">
        <v>0</v>
      </c>
      <c r="K57">
        <f t="shared" si="2"/>
        <v>7.952</v>
      </c>
      <c r="L57" t="str">
        <f t="shared" si="3"/>
        <v>Apto</v>
      </c>
      <c r="M57" t="s">
        <v>49</v>
      </c>
    </row>
    <row r="58" spans="1:13" x14ac:dyDescent="0.2">
      <c r="A58" t="s">
        <v>56</v>
      </c>
      <c r="B58" t="s">
        <v>57</v>
      </c>
      <c r="C58" t="s">
        <v>18</v>
      </c>
      <c r="D58" t="s">
        <v>16</v>
      </c>
      <c r="E58">
        <v>9.1</v>
      </c>
      <c r="F58">
        <v>8.1</v>
      </c>
      <c r="G58">
        <v>8.1</v>
      </c>
      <c r="H58">
        <v>9</v>
      </c>
      <c r="I58">
        <v>78</v>
      </c>
      <c r="J58">
        <v>1</v>
      </c>
      <c r="K58">
        <f t="shared" si="2"/>
        <v>8.1539999999999999</v>
      </c>
      <c r="L58" t="str">
        <f t="shared" si="3"/>
        <v>Apto</v>
      </c>
      <c r="M58" t="s">
        <v>17</v>
      </c>
    </row>
    <row r="59" spans="1:13" x14ac:dyDescent="0.2">
      <c r="A59" t="s">
        <v>56</v>
      </c>
      <c r="B59" t="s">
        <v>57</v>
      </c>
      <c r="C59" t="s">
        <v>21</v>
      </c>
      <c r="D59" t="s">
        <v>19</v>
      </c>
      <c r="E59">
        <v>9.6</v>
      </c>
      <c r="F59">
        <v>8.6</v>
      </c>
      <c r="G59">
        <v>8.6999999999999993</v>
      </c>
      <c r="H59">
        <v>9.6</v>
      </c>
      <c r="I59">
        <v>82</v>
      </c>
      <c r="J59">
        <v>2</v>
      </c>
      <c r="K59">
        <f t="shared" si="2"/>
        <v>8.5810000000000013</v>
      </c>
      <c r="L59" t="str">
        <f t="shared" si="3"/>
        <v>Apto</v>
      </c>
      <c r="M59" t="s">
        <v>20</v>
      </c>
    </row>
    <row r="60" spans="1:13" x14ac:dyDescent="0.2">
      <c r="A60" t="s">
        <v>56</v>
      </c>
      <c r="B60" t="s">
        <v>57</v>
      </c>
      <c r="C60" t="s">
        <v>24</v>
      </c>
      <c r="D60" t="s">
        <v>22</v>
      </c>
      <c r="E60">
        <v>8.9</v>
      </c>
      <c r="F60">
        <v>9</v>
      </c>
      <c r="G60">
        <v>9.3000000000000007</v>
      </c>
      <c r="H60">
        <v>10</v>
      </c>
      <c r="I60">
        <v>86</v>
      </c>
      <c r="J60">
        <v>3</v>
      </c>
      <c r="K60">
        <f t="shared" si="2"/>
        <v>8.6280000000000001</v>
      </c>
      <c r="L60" t="str">
        <f t="shared" si="3"/>
        <v>Apto</v>
      </c>
      <c r="M60" t="s">
        <v>23</v>
      </c>
    </row>
    <row r="61" spans="1:13" x14ac:dyDescent="0.2">
      <c r="A61" t="s">
        <v>56</v>
      </c>
      <c r="B61" t="s">
        <v>57</v>
      </c>
      <c r="C61" t="s">
        <v>27</v>
      </c>
      <c r="D61" t="s">
        <v>25</v>
      </c>
      <c r="E61">
        <v>9.4</v>
      </c>
      <c r="F61">
        <v>9.5</v>
      </c>
      <c r="G61">
        <v>10</v>
      </c>
      <c r="H61">
        <v>9.5</v>
      </c>
      <c r="I61">
        <v>90</v>
      </c>
      <c r="J61">
        <v>0</v>
      </c>
      <c r="K61">
        <f t="shared" si="2"/>
        <v>9.1449999999999996</v>
      </c>
      <c r="L61" t="str">
        <f t="shared" si="3"/>
        <v>Apto</v>
      </c>
      <c r="M61" t="s">
        <v>26</v>
      </c>
    </row>
    <row r="62" spans="1:13" x14ac:dyDescent="0.2">
      <c r="A62" t="s">
        <v>58</v>
      </c>
      <c r="B62" t="s">
        <v>59</v>
      </c>
      <c r="C62" t="s">
        <v>15</v>
      </c>
      <c r="D62" t="s">
        <v>16</v>
      </c>
      <c r="E62">
        <v>9.4</v>
      </c>
      <c r="F62">
        <v>8.6999999999999993</v>
      </c>
      <c r="G62">
        <v>9.5</v>
      </c>
      <c r="H62">
        <v>9.9</v>
      </c>
      <c r="I62">
        <v>79</v>
      </c>
      <c r="J62">
        <v>1</v>
      </c>
      <c r="K62">
        <f t="shared" si="2"/>
        <v>8.8995000000000015</v>
      </c>
      <c r="L62" t="str">
        <f t="shared" si="3"/>
        <v>Apto</v>
      </c>
      <c r="M62" t="s">
        <v>17</v>
      </c>
    </row>
    <row r="63" spans="1:13" x14ac:dyDescent="0.2">
      <c r="A63" t="s">
        <v>58</v>
      </c>
      <c r="B63" t="s">
        <v>59</v>
      </c>
      <c r="C63" t="s">
        <v>18</v>
      </c>
      <c r="D63" t="s">
        <v>19</v>
      </c>
      <c r="E63">
        <v>10</v>
      </c>
      <c r="F63">
        <v>9.1</v>
      </c>
      <c r="G63">
        <v>9</v>
      </c>
      <c r="H63">
        <v>9.3000000000000007</v>
      </c>
      <c r="I63">
        <v>83</v>
      </c>
      <c r="J63">
        <v>2</v>
      </c>
      <c r="K63">
        <f t="shared" si="2"/>
        <v>8.7515000000000001</v>
      </c>
      <c r="L63" t="str">
        <f t="shared" si="3"/>
        <v>Apto</v>
      </c>
      <c r="M63" t="s">
        <v>20</v>
      </c>
    </row>
    <row r="64" spans="1:13" x14ac:dyDescent="0.2">
      <c r="A64" t="s">
        <v>58</v>
      </c>
      <c r="B64" t="s">
        <v>59</v>
      </c>
      <c r="C64" t="s">
        <v>21</v>
      </c>
      <c r="D64" t="s">
        <v>22</v>
      </c>
      <c r="E64">
        <v>9.3000000000000007</v>
      </c>
      <c r="F64">
        <v>9.6</v>
      </c>
      <c r="G64">
        <v>9.6</v>
      </c>
      <c r="H64">
        <v>9.8000000000000007</v>
      </c>
      <c r="I64">
        <v>87</v>
      </c>
      <c r="J64">
        <v>3</v>
      </c>
      <c r="K64">
        <f t="shared" si="2"/>
        <v>8.8484999999999996</v>
      </c>
      <c r="L64" t="str">
        <f t="shared" si="3"/>
        <v>Apto</v>
      </c>
      <c r="M64" t="s">
        <v>23</v>
      </c>
    </row>
    <row r="65" spans="1:13" x14ac:dyDescent="0.2">
      <c r="A65" t="s">
        <v>58</v>
      </c>
      <c r="B65" t="s">
        <v>59</v>
      </c>
      <c r="C65" t="s">
        <v>24</v>
      </c>
      <c r="D65" t="s">
        <v>25</v>
      </c>
      <c r="E65">
        <v>9.9</v>
      </c>
      <c r="F65">
        <v>10</v>
      </c>
      <c r="G65">
        <v>10</v>
      </c>
      <c r="H65">
        <v>10</v>
      </c>
      <c r="I65">
        <v>91</v>
      </c>
      <c r="J65">
        <v>0</v>
      </c>
      <c r="K65">
        <f t="shared" si="2"/>
        <v>9.5205000000000002</v>
      </c>
      <c r="L65" t="str">
        <f t="shared" si="3"/>
        <v>Apto</v>
      </c>
      <c r="M65" t="s">
        <v>26</v>
      </c>
    </row>
    <row r="66" spans="1:13" x14ac:dyDescent="0.2">
      <c r="A66" t="s">
        <v>58</v>
      </c>
      <c r="B66" t="s">
        <v>59</v>
      </c>
      <c r="C66" t="s">
        <v>27</v>
      </c>
      <c r="D66" t="s">
        <v>16</v>
      </c>
      <c r="E66">
        <v>5.3</v>
      </c>
      <c r="F66">
        <v>4.4000000000000004</v>
      </c>
      <c r="G66">
        <v>4.5999999999999996</v>
      </c>
      <c r="H66">
        <v>5.8</v>
      </c>
      <c r="I66">
        <v>95</v>
      </c>
      <c r="J66">
        <v>1</v>
      </c>
      <c r="K66">
        <f t="shared" ref="K66:K97" si="4">E66*0.25+F66*0.2+G66*0.2+H66*0.3+I66/100*0.05-J66*0.1</f>
        <v>4.8125000000000009</v>
      </c>
      <c r="L66" t="str">
        <f t="shared" ref="L66:L97" si="5">IF(K66&gt;=5,"Apto","No apto")</f>
        <v>No apto</v>
      </c>
      <c r="M66" t="s">
        <v>28</v>
      </c>
    </row>
    <row r="67" spans="1:13" x14ac:dyDescent="0.2">
      <c r="A67" t="s">
        <v>60</v>
      </c>
      <c r="B67" t="s">
        <v>61</v>
      </c>
      <c r="C67" t="s">
        <v>15</v>
      </c>
      <c r="D67" t="s">
        <v>19</v>
      </c>
      <c r="E67">
        <v>10</v>
      </c>
      <c r="F67">
        <v>9.6999999999999993</v>
      </c>
      <c r="G67">
        <v>9.1999999999999993</v>
      </c>
      <c r="H67">
        <v>10</v>
      </c>
      <c r="I67">
        <v>84</v>
      </c>
      <c r="J67">
        <v>2</v>
      </c>
      <c r="K67">
        <f t="shared" si="4"/>
        <v>9.1219999999999999</v>
      </c>
      <c r="L67" t="str">
        <f t="shared" si="5"/>
        <v>Apto</v>
      </c>
      <c r="M67" t="s">
        <v>20</v>
      </c>
    </row>
    <row r="68" spans="1:13" x14ac:dyDescent="0.2">
      <c r="A68" t="s">
        <v>60</v>
      </c>
      <c r="B68" t="s">
        <v>61</v>
      </c>
      <c r="C68" t="s">
        <v>18</v>
      </c>
      <c r="D68" t="s">
        <v>22</v>
      </c>
      <c r="E68">
        <v>9.6999999999999993</v>
      </c>
      <c r="F68">
        <v>10</v>
      </c>
      <c r="G68">
        <v>9.8000000000000007</v>
      </c>
      <c r="H68">
        <v>10</v>
      </c>
      <c r="I68">
        <v>88</v>
      </c>
      <c r="J68">
        <v>3</v>
      </c>
      <c r="K68">
        <f t="shared" si="4"/>
        <v>9.1289999999999996</v>
      </c>
      <c r="L68" t="str">
        <f t="shared" si="5"/>
        <v>Apto</v>
      </c>
      <c r="M68" t="s">
        <v>23</v>
      </c>
    </row>
    <row r="69" spans="1:13" x14ac:dyDescent="0.2">
      <c r="A69" t="s">
        <v>60</v>
      </c>
      <c r="B69" t="s">
        <v>61</v>
      </c>
      <c r="C69" t="s">
        <v>21</v>
      </c>
      <c r="D69" t="s">
        <v>25</v>
      </c>
      <c r="E69">
        <v>5.2</v>
      </c>
      <c r="F69">
        <v>4.5</v>
      </c>
      <c r="G69">
        <v>5.3</v>
      </c>
      <c r="H69">
        <v>6.1</v>
      </c>
      <c r="I69">
        <v>92</v>
      </c>
      <c r="J69">
        <v>0</v>
      </c>
      <c r="K69">
        <f t="shared" si="4"/>
        <v>5.1360000000000001</v>
      </c>
      <c r="L69" t="str">
        <f t="shared" si="5"/>
        <v>Apto</v>
      </c>
      <c r="M69" t="s">
        <v>26</v>
      </c>
    </row>
    <row r="70" spans="1:13" x14ac:dyDescent="0.2">
      <c r="A70" t="s">
        <v>60</v>
      </c>
      <c r="B70" t="s">
        <v>61</v>
      </c>
      <c r="C70" t="s">
        <v>24</v>
      </c>
      <c r="D70" t="s">
        <v>16</v>
      </c>
      <c r="E70">
        <v>5.7</v>
      </c>
      <c r="F70">
        <v>5</v>
      </c>
      <c r="G70">
        <v>6</v>
      </c>
      <c r="H70">
        <v>5.5</v>
      </c>
      <c r="I70">
        <v>96</v>
      </c>
      <c r="J70">
        <v>1</v>
      </c>
      <c r="K70">
        <f t="shared" si="4"/>
        <v>5.2230000000000008</v>
      </c>
      <c r="L70" t="str">
        <f t="shared" si="5"/>
        <v>Apto</v>
      </c>
      <c r="M70" t="s">
        <v>28</v>
      </c>
    </row>
    <row r="71" spans="1:13" x14ac:dyDescent="0.2">
      <c r="A71" t="s">
        <v>60</v>
      </c>
      <c r="B71" t="s">
        <v>61</v>
      </c>
      <c r="C71" t="s">
        <v>27</v>
      </c>
      <c r="D71" t="s">
        <v>19</v>
      </c>
      <c r="E71">
        <v>6.2</v>
      </c>
      <c r="F71">
        <v>5.5</v>
      </c>
      <c r="G71">
        <v>5.5</v>
      </c>
      <c r="H71">
        <v>6</v>
      </c>
      <c r="I71">
        <v>100</v>
      </c>
      <c r="J71">
        <v>2</v>
      </c>
      <c r="K71">
        <f t="shared" si="4"/>
        <v>5.4</v>
      </c>
      <c r="L71" t="str">
        <f t="shared" si="5"/>
        <v>Apto</v>
      </c>
      <c r="M71" t="s">
        <v>31</v>
      </c>
    </row>
    <row r="72" spans="1:13" x14ac:dyDescent="0.2">
      <c r="A72" t="s">
        <v>62</v>
      </c>
      <c r="B72" t="s">
        <v>63</v>
      </c>
      <c r="C72" t="s">
        <v>15</v>
      </c>
      <c r="D72" t="s">
        <v>22</v>
      </c>
      <c r="E72">
        <v>5</v>
      </c>
      <c r="F72">
        <v>4.5999999999999996</v>
      </c>
      <c r="G72">
        <v>5</v>
      </c>
      <c r="H72">
        <v>5.3</v>
      </c>
      <c r="I72">
        <v>89</v>
      </c>
      <c r="J72">
        <v>3</v>
      </c>
      <c r="K72">
        <f t="shared" si="4"/>
        <v>4.5045000000000002</v>
      </c>
      <c r="L72" t="str">
        <f t="shared" si="5"/>
        <v>No apto</v>
      </c>
      <c r="M72" t="s">
        <v>23</v>
      </c>
    </row>
    <row r="73" spans="1:13" x14ac:dyDescent="0.2">
      <c r="A73" t="s">
        <v>62</v>
      </c>
      <c r="B73" t="s">
        <v>63</v>
      </c>
      <c r="C73" t="s">
        <v>18</v>
      </c>
      <c r="D73" t="s">
        <v>25</v>
      </c>
      <c r="E73">
        <v>5.5</v>
      </c>
      <c r="F73">
        <v>5.0999999999999996</v>
      </c>
      <c r="G73">
        <v>5.6</v>
      </c>
      <c r="H73">
        <v>5.8</v>
      </c>
      <c r="I73">
        <v>93</v>
      </c>
      <c r="J73">
        <v>0</v>
      </c>
      <c r="K73">
        <f t="shared" si="4"/>
        <v>5.3014999999999999</v>
      </c>
      <c r="L73" t="str">
        <f t="shared" si="5"/>
        <v>Apto</v>
      </c>
      <c r="M73" t="s">
        <v>26</v>
      </c>
    </row>
    <row r="74" spans="1:13" x14ac:dyDescent="0.2">
      <c r="A74" t="s">
        <v>62</v>
      </c>
      <c r="B74" t="s">
        <v>63</v>
      </c>
      <c r="C74" t="s">
        <v>21</v>
      </c>
      <c r="D74" t="s">
        <v>16</v>
      </c>
      <c r="E74">
        <v>6.1</v>
      </c>
      <c r="F74">
        <v>5.6</v>
      </c>
      <c r="G74">
        <v>6.2</v>
      </c>
      <c r="H74">
        <v>6.3</v>
      </c>
      <c r="I74">
        <v>97</v>
      </c>
      <c r="J74">
        <v>1</v>
      </c>
      <c r="K74">
        <f t="shared" si="4"/>
        <v>5.7234999999999996</v>
      </c>
      <c r="L74" t="str">
        <f t="shared" si="5"/>
        <v>Apto</v>
      </c>
      <c r="M74" t="s">
        <v>28</v>
      </c>
    </row>
    <row r="75" spans="1:13" x14ac:dyDescent="0.2">
      <c r="A75" t="s">
        <v>62</v>
      </c>
      <c r="B75" t="s">
        <v>63</v>
      </c>
      <c r="C75" t="s">
        <v>24</v>
      </c>
      <c r="D75" t="s">
        <v>19</v>
      </c>
      <c r="E75">
        <v>6.7</v>
      </c>
      <c r="F75">
        <v>6</v>
      </c>
      <c r="G75">
        <v>5.7</v>
      </c>
      <c r="H75">
        <v>6.9</v>
      </c>
      <c r="I75">
        <v>72</v>
      </c>
      <c r="J75">
        <v>2</v>
      </c>
      <c r="K75">
        <f t="shared" si="4"/>
        <v>5.9210000000000003</v>
      </c>
      <c r="L75" t="str">
        <f t="shared" si="5"/>
        <v>Apto</v>
      </c>
      <c r="M75" t="s">
        <v>31</v>
      </c>
    </row>
    <row r="76" spans="1:13" x14ac:dyDescent="0.2">
      <c r="A76" t="s">
        <v>62</v>
      </c>
      <c r="B76" t="s">
        <v>63</v>
      </c>
      <c r="C76" t="s">
        <v>27</v>
      </c>
      <c r="D76" t="s">
        <v>22</v>
      </c>
      <c r="E76">
        <v>7.2</v>
      </c>
      <c r="F76">
        <v>6.5</v>
      </c>
      <c r="G76">
        <v>6.3</v>
      </c>
      <c r="H76">
        <v>7.4</v>
      </c>
      <c r="I76">
        <v>76</v>
      </c>
      <c r="J76">
        <v>3</v>
      </c>
      <c r="K76">
        <f t="shared" si="4"/>
        <v>6.3180000000000005</v>
      </c>
      <c r="L76" t="str">
        <f t="shared" si="5"/>
        <v>Apto</v>
      </c>
      <c r="M76" t="s">
        <v>34</v>
      </c>
    </row>
    <row r="77" spans="1:13" x14ac:dyDescent="0.2">
      <c r="A77" t="s">
        <v>64</v>
      </c>
      <c r="B77" t="s">
        <v>65</v>
      </c>
      <c r="C77" t="s">
        <v>15</v>
      </c>
      <c r="D77" t="s">
        <v>25</v>
      </c>
      <c r="E77">
        <v>6</v>
      </c>
      <c r="F77">
        <v>5.7</v>
      </c>
      <c r="G77">
        <v>5.8</v>
      </c>
      <c r="H77">
        <v>6.7</v>
      </c>
      <c r="I77">
        <v>94</v>
      </c>
      <c r="J77">
        <v>0</v>
      </c>
      <c r="K77">
        <f t="shared" si="4"/>
        <v>5.8569999999999993</v>
      </c>
      <c r="L77" t="str">
        <f t="shared" si="5"/>
        <v>Apto</v>
      </c>
      <c r="M77" t="s">
        <v>26</v>
      </c>
    </row>
    <row r="78" spans="1:13" x14ac:dyDescent="0.2">
      <c r="A78" t="s">
        <v>64</v>
      </c>
      <c r="B78" t="s">
        <v>65</v>
      </c>
      <c r="C78" t="s">
        <v>18</v>
      </c>
      <c r="D78" t="s">
        <v>16</v>
      </c>
      <c r="E78">
        <v>6.5</v>
      </c>
      <c r="F78">
        <v>6.1</v>
      </c>
      <c r="G78">
        <v>6.4</v>
      </c>
      <c r="H78">
        <v>7.2</v>
      </c>
      <c r="I78">
        <v>98</v>
      </c>
      <c r="J78">
        <v>1</v>
      </c>
      <c r="K78">
        <f t="shared" si="4"/>
        <v>6.2340000000000009</v>
      </c>
      <c r="L78" t="str">
        <f t="shared" si="5"/>
        <v>Apto</v>
      </c>
      <c r="M78" t="s">
        <v>28</v>
      </c>
    </row>
    <row r="79" spans="1:13" x14ac:dyDescent="0.2">
      <c r="A79" t="s">
        <v>64</v>
      </c>
      <c r="B79" t="s">
        <v>65</v>
      </c>
      <c r="C79" t="s">
        <v>21</v>
      </c>
      <c r="D79" t="s">
        <v>19</v>
      </c>
      <c r="E79">
        <v>7.1</v>
      </c>
      <c r="F79">
        <v>6.6</v>
      </c>
      <c r="G79">
        <v>7.1</v>
      </c>
      <c r="H79">
        <v>6.6</v>
      </c>
      <c r="I79">
        <v>73</v>
      </c>
      <c r="J79">
        <v>2</v>
      </c>
      <c r="K79">
        <f t="shared" si="4"/>
        <v>6.3314999999999992</v>
      </c>
      <c r="L79" t="str">
        <f t="shared" si="5"/>
        <v>Apto</v>
      </c>
      <c r="M79" t="s">
        <v>31</v>
      </c>
    </row>
    <row r="80" spans="1:13" x14ac:dyDescent="0.2">
      <c r="A80" t="s">
        <v>64</v>
      </c>
      <c r="B80" t="s">
        <v>65</v>
      </c>
      <c r="C80" t="s">
        <v>24</v>
      </c>
      <c r="D80" t="s">
        <v>22</v>
      </c>
      <c r="E80">
        <v>7.6</v>
      </c>
      <c r="F80">
        <v>7.1</v>
      </c>
      <c r="G80">
        <v>6.6</v>
      </c>
      <c r="H80">
        <v>7.1</v>
      </c>
      <c r="I80">
        <v>77</v>
      </c>
      <c r="J80">
        <v>3</v>
      </c>
      <c r="K80">
        <f t="shared" si="4"/>
        <v>6.5084999999999997</v>
      </c>
      <c r="L80" t="str">
        <f t="shared" si="5"/>
        <v>Apto</v>
      </c>
      <c r="M80" t="s">
        <v>34</v>
      </c>
    </row>
    <row r="81" spans="1:13" x14ac:dyDescent="0.2">
      <c r="A81" t="s">
        <v>64</v>
      </c>
      <c r="B81" t="s">
        <v>65</v>
      </c>
      <c r="C81" t="s">
        <v>27</v>
      </c>
      <c r="D81" t="s">
        <v>25</v>
      </c>
      <c r="E81">
        <v>6.9</v>
      </c>
      <c r="F81">
        <v>6.5</v>
      </c>
      <c r="G81">
        <v>7.2</v>
      </c>
      <c r="H81">
        <v>7.6</v>
      </c>
      <c r="I81">
        <v>81</v>
      </c>
      <c r="J81">
        <v>0</v>
      </c>
      <c r="K81">
        <f t="shared" si="4"/>
        <v>6.7855000000000008</v>
      </c>
      <c r="L81" t="str">
        <f t="shared" si="5"/>
        <v>Apto</v>
      </c>
      <c r="M81" t="s">
        <v>37</v>
      </c>
    </row>
    <row r="82" spans="1:13" x14ac:dyDescent="0.2">
      <c r="A82" t="s">
        <v>66</v>
      </c>
      <c r="B82" t="s">
        <v>67</v>
      </c>
      <c r="C82" t="s">
        <v>15</v>
      </c>
      <c r="D82" t="s">
        <v>16</v>
      </c>
      <c r="E82">
        <v>6.9</v>
      </c>
      <c r="F82">
        <v>6.7</v>
      </c>
      <c r="G82">
        <v>6.7</v>
      </c>
      <c r="H82">
        <v>6.9</v>
      </c>
      <c r="I82">
        <v>99</v>
      </c>
      <c r="J82">
        <v>1</v>
      </c>
      <c r="K82">
        <f t="shared" si="4"/>
        <v>6.4245000000000001</v>
      </c>
      <c r="L82" t="str">
        <f t="shared" si="5"/>
        <v>Apto</v>
      </c>
      <c r="M82" t="s">
        <v>28</v>
      </c>
    </row>
    <row r="83" spans="1:13" x14ac:dyDescent="0.2">
      <c r="A83" t="s">
        <v>66</v>
      </c>
      <c r="B83" t="s">
        <v>67</v>
      </c>
      <c r="C83" t="s">
        <v>18</v>
      </c>
      <c r="D83" t="s">
        <v>19</v>
      </c>
      <c r="E83">
        <v>7.5</v>
      </c>
      <c r="F83">
        <v>7.2</v>
      </c>
      <c r="G83">
        <v>7.3</v>
      </c>
      <c r="H83">
        <v>7.4</v>
      </c>
      <c r="I83">
        <v>74</v>
      </c>
      <c r="J83">
        <v>2</v>
      </c>
      <c r="K83">
        <f t="shared" si="4"/>
        <v>6.8320000000000007</v>
      </c>
      <c r="L83" t="str">
        <f t="shared" si="5"/>
        <v>Apto</v>
      </c>
      <c r="M83" t="s">
        <v>31</v>
      </c>
    </row>
    <row r="84" spans="1:13" x14ac:dyDescent="0.2">
      <c r="A84" t="s">
        <v>66</v>
      </c>
      <c r="B84" t="s">
        <v>67</v>
      </c>
      <c r="C84" t="s">
        <v>21</v>
      </c>
      <c r="D84" t="s">
        <v>22</v>
      </c>
      <c r="E84">
        <v>8</v>
      </c>
      <c r="F84">
        <v>6.6</v>
      </c>
      <c r="G84">
        <v>6.8</v>
      </c>
      <c r="H84">
        <v>8</v>
      </c>
      <c r="I84">
        <v>78</v>
      </c>
      <c r="J84">
        <v>3</v>
      </c>
      <c r="K84">
        <f t="shared" si="4"/>
        <v>6.819</v>
      </c>
      <c r="L84" t="str">
        <f t="shared" si="5"/>
        <v>Apto</v>
      </c>
      <c r="M84" t="s">
        <v>34</v>
      </c>
    </row>
    <row r="85" spans="1:13" x14ac:dyDescent="0.2">
      <c r="A85" t="s">
        <v>66</v>
      </c>
      <c r="B85" t="s">
        <v>67</v>
      </c>
      <c r="C85" t="s">
        <v>24</v>
      </c>
      <c r="D85" t="s">
        <v>25</v>
      </c>
      <c r="E85">
        <v>7.3</v>
      </c>
      <c r="F85">
        <v>7.1</v>
      </c>
      <c r="G85">
        <v>7.4</v>
      </c>
      <c r="H85">
        <v>8.5</v>
      </c>
      <c r="I85">
        <v>82</v>
      </c>
      <c r="J85">
        <v>0</v>
      </c>
      <c r="K85">
        <f t="shared" si="4"/>
        <v>7.3160000000000007</v>
      </c>
      <c r="L85" t="str">
        <f t="shared" si="5"/>
        <v>Apto</v>
      </c>
      <c r="M85" t="s">
        <v>37</v>
      </c>
    </row>
    <row r="86" spans="1:13" x14ac:dyDescent="0.2">
      <c r="A86" t="s">
        <v>66</v>
      </c>
      <c r="B86" t="s">
        <v>67</v>
      </c>
      <c r="C86" t="s">
        <v>27</v>
      </c>
      <c r="D86" t="s">
        <v>16</v>
      </c>
      <c r="E86">
        <v>7.8</v>
      </c>
      <c r="F86">
        <v>7.6</v>
      </c>
      <c r="G86">
        <v>8</v>
      </c>
      <c r="H86">
        <v>7.9</v>
      </c>
      <c r="I86">
        <v>86</v>
      </c>
      <c r="J86">
        <v>1</v>
      </c>
      <c r="K86">
        <f t="shared" si="4"/>
        <v>7.3830000000000009</v>
      </c>
      <c r="L86" t="str">
        <f t="shared" si="5"/>
        <v>Apto</v>
      </c>
      <c r="M86" t="s">
        <v>40</v>
      </c>
    </row>
    <row r="87" spans="1:13" x14ac:dyDescent="0.2">
      <c r="A87" t="s">
        <v>68</v>
      </c>
      <c r="B87" t="s">
        <v>69</v>
      </c>
      <c r="C87" t="s">
        <v>15</v>
      </c>
      <c r="D87" t="s">
        <v>19</v>
      </c>
      <c r="E87">
        <v>7.8</v>
      </c>
      <c r="F87">
        <v>6.7</v>
      </c>
      <c r="G87">
        <v>7.5</v>
      </c>
      <c r="H87">
        <v>8.3000000000000007</v>
      </c>
      <c r="I87">
        <v>75</v>
      </c>
      <c r="J87">
        <v>2</v>
      </c>
      <c r="K87">
        <f t="shared" si="4"/>
        <v>7.1174999999999997</v>
      </c>
      <c r="L87" t="str">
        <f t="shared" si="5"/>
        <v>Apto</v>
      </c>
      <c r="M87" t="s">
        <v>31</v>
      </c>
    </row>
    <row r="88" spans="1:13" x14ac:dyDescent="0.2">
      <c r="A88" t="s">
        <v>68</v>
      </c>
      <c r="B88" t="s">
        <v>69</v>
      </c>
      <c r="C88" t="s">
        <v>18</v>
      </c>
      <c r="D88" t="s">
        <v>22</v>
      </c>
      <c r="E88">
        <v>8.4</v>
      </c>
      <c r="F88">
        <v>7.2</v>
      </c>
      <c r="G88">
        <v>8.1999999999999993</v>
      </c>
      <c r="H88">
        <v>7.7</v>
      </c>
      <c r="I88">
        <v>79</v>
      </c>
      <c r="J88">
        <v>3</v>
      </c>
      <c r="K88">
        <f t="shared" si="4"/>
        <v>7.2295000000000007</v>
      </c>
      <c r="L88" t="str">
        <f t="shared" si="5"/>
        <v>Apto</v>
      </c>
      <c r="M88" t="s">
        <v>34</v>
      </c>
    </row>
    <row r="89" spans="1:13" x14ac:dyDescent="0.2">
      <c r="A89" t="s">
        <v>68</v>
      </c>
      <c r="B89" t="s">
        <v>69</v>
      </c>
      <c r="C89" t="s">
        <v>21</v>
      </c>
      <c r="D89" t="s">
        <v>25</v>
      </c>
      <c r="E89">
        <v>7.7</v>
      </c>
      <c r="F89">
        <v>7.7</v>
      </c>
      <c r="G89">
        <v>7.7</v>
      </c>
      <c r="H89">
        <v>8.1999999999999993</v>
      </c>
      <c r="I89">
        <v>83</v>
      </c>
      <c r="J89">
        <v>0</v>
      </c>
      <c r="K89">
        <f t="shared" si="4"/>
        <v>7.5065</v>
      </c>
      <c r="L89" t="str">
        <f t="shared" si="5"/>
        <v>Apto</v>
      </c>
      <c r="M89" t="s">
        <v>37</v>
      </c>
    </row>
    <row r="90" spans="1:13" x14ac:dyDescent="0.2">
      <c r="A90" t="s">
        <v>68</v>
      </c>
      <c r="B90" t="s">
        <v>69</v>
      </c>
      <c r="C90" t="s">
        <v>24</v>
      </c>
      <c r="D90" t="s">
        <v>16</v>
      </c>
      <c r="E90">
        <v>8.1999999999999993</v>
      </c>
      <c r="F90">
        <v>8.1</v>
      </c>
      <c r="G90">
        <v>8.3000000000000007</v>
      </c>
      <c r="H90">
        <v>8.6999999999999993</v>
      </c>
      <c r="I90">
        <v>87</v>
      </c>
      <c r="J90">
        <v>1</v>
      </c>
      <c r="K90">
        <f t="shared" si="4"/>
        <v>7.8834999999999997</v>
      </c>
      <c r="L90" t="str">
        <f t="shared" si="5"/>
        <v>Apto</v>
      </c>
      <c r="M90" t="s">
        <v>40</v>
      </c>
    </row>
    <row r="91" spans="1:13" x14ac:dyDescent="0.2">
      <c r="A91" t="s">
        <v>68</v>
      </c>
      <c r="B91" t="s">
        <v>69</v>
      </c>
      <c r="C91" t="s">
        <v>27</v>
      </c>
      <c r="D91" t="s">
        <v>19</v>
      </c>
      <c r="E91">
        <v>8.8000000000000007</v>
      </c>
      <c r="F91">
        <v>8.6</v>
      </c>
      <c r="G91">
        <v>8.9</v>
      </c>
      <c r="H91">
        <v>9.3000000000000007</v>
      </c>
      <c r="I91">
        <v>91</v>
      </c>
      <c r="J91">
        <v>2</v>
      </c>
      <c r="K91">
        <f t="shared" si="4"/>
        <v>8.3355000000000015</v>
      </c>
      <c r="L91" t="str">
        <f t="shared" si="5"/>
        <v>Apto</v>
      </c>
      <c r="M91" t="s">
        <v>43</v>
      </c>
    </row>
    <row r="92" spans="1:13" x14ac:dyDescent="0.2">
      <c r="A92" t="s">
        <v>70</v>
      </c>
      <c r="B92" t="s">
        <v>71</v>
      </c>
      <c r="C92" t="s">
        <v>15</v>
      </c>
      <c r="D92" t="s">
        <v>22</v>
      </c>
      <c r="E92">
        <v>8.8000000000000007</v>
      </c>
      <c r="F92">
        <v>7.8</v>
      </c>
      <c r="G92">
        <v>8.4</v>
      </c>
      <c r="H92">
        <v>8.5</v>
      </c>
      <c r="I92">
        <v>80</v>
      </c>
      <c r="J92">
        <v>3</v>
      </c>
      <c r="K92">
        <f t="shared" si="4"/>
        <v>7.7299999999999995</v>
      </c>
      <c r="L92" t="str">
        <f t="shared" si="5"/>
        <v>Apto</v>
      </c>
      <c r="M92" t="s">
        <v>34</v>
      </c>
    </row>
    <row r="93" spans="1:13" x14ac:dyDescent="0.2">
      <c r="A93" t="s">
        <v>70</v>
      </c>
      <c r="B93" t="s">
        <v>71</v>
      </c>
      <c r="C93" t="s">
        <v>18</v>
      </c>
      <c r="D93" t="s">
        <v>25</v>
      </c>
      <c r="E93">
        <v>8.1</v>
      </c>
      <c r="F93">
        <v>8.1999999999999993</v>
      </c>
      <c r="G93">
        <v>7.9</v>
      </c>
      <c r="H93">
        <v>9.1</v>
      </c>
      <c r="I93">
        <v>84</v>
      </c>
      <c r="J93">
        <v>0</v>
      </c>
      <c r="K93">
        <f t="shared" si="4"/>
        <v>8.0169999999999995</v>
      </c>
      <c r="L93" t="str">
        <f t="shared" si="5"/>
        <v>Apto</v>
      </c>
      <c r="M93" t="s">
        <v>37</v>
      </c>
    </row>
    <row r="94" spans="1:13" x14ac:dyDescent="0.2">
      <c r="A94" t="s">
        <v>70</v>
      </c>
      <c r="B94" t="s">
        <v>71</v>
      </c>
      <c r="C94" t="s">
        <v>21</v>
      </c>
      <c r="D94" t="s">
        <v>16</v>
      </c>
      <c r="E94">
        <v>8.6999999999999993</v>
      </c>
      <c r="F94">
        <v>8.6999999999999993</v>
      </c>
      <c r="G94">
        <v>8.5</v>
      </c>
      <c r="H94">
        <v>9.6</v>
      </c>
      <c r="I94">
        <v>88</v>
      </c>
      <c r="J94">
        <v>1</v>
      </c>
      <c r="K94">
        <f t="shared" si="4"/>
        <v>8.4390000000000018</v>
      </c>
      <c r="L94" t="str">
        <f t="shared" si="5"/>
        <v>Apto</v>
      </c>
      <c r="M94" t="s">
        <v>40</v>
      </c>
    </row>
    <row r="95" spans="1:13" x14ac:dyDescent="0.2">
      <c r="A95" t="s">
        <v>70</v>
      </c>
      <c r="B95" t="s">
        <v>71</v>
      </c>
      <c r="C95" t="s">
        <v>24</v>
      </c>
      <c r="D95" t="s">
        <v>19</v>
      </c>
      <c r="E95">
        <v>9.1999999999999993</v>
      </c>
      <c r="F95">
        <v>9.1999999999999993</v>
      </c>
      <c r="G95">
        <v>9.1</v>
      </c>
      <c r="H95">
        <v>9</v>
      </c>
      <c r="I95">
        <v>92</v>
      </c>
      <c r="J95">
        <v>2</v>
      </c>
      <c r="K95">
        <f t="shared" si="4"/>
        <v>8.5060000000000002</v>
      </c>
      <c r="L95" t="str">
        <f t="shared" si="5"/>
        <v>Apto</v>
      </c>
      <c r="M95" t="s">
        <v>43</v>
      </c>
    </row>
    <row r="96" spans="1:13" x14ac:dyDescent="0.2">
      <c r="A96" t="s">
        <v>70</v>
      </c>
      <c r="B96" t="s">
        <v>71</v>
      </c>
      <c r="C96" t="s">
        <v>27</v>
      </c>
      <c r="D96" t="s">
        <v>22</v>
      </c>
      <c r="E96">
        <v>9.8000000000000007</v>
      </c>
      <c r="F96">
        <v>8.6</v>
      </c>
      <c r="G96">
        <v>9.8000000000000007</v>
      </c>
      <c r="H96">
        <v>9.5</v>
      </c>
      <c r="I96">
        <v>96</v>
      </c>
      <c r="J96">
        <v>3</v>
      </c>
      <c r="K96">
        <f t="shared" si="4"/>
        <v>8.7279999999999998</v>
      </c>
      <c r="L96" t="str">
        <f t="shared" si="5"/>
        <v>Apto</v>
      </c>
      <c r="M96" t="s">
        <v>46</v>
      </c>
    </row>
    <row r="97" spans="1:13" x14ac:dyDescent="0.2">
      <c r="A97" t="s">
        <v>72</v>
      </c>
      <c r="B97" t="s">
        <v>73</v>
      </c>
      <c r="C97" t="s">
        <v>15</v>
      </c>
      <c r="D97" t="s">
        <v>25</v>
      </c>
      <c r="E97">
        <v>8.5</v>
      </c>
      <c r="F97">
        <v>8.8000000000000007</v>
      </c>
      <c r="G97">
        <v>9.3000000000000007</v>
      </c>
      <c r="H97">
        <v>8.8000000000000007</v>
      </c>
      <c r="I97">
        <v>85</v>
      </c>
      <c r="J97">
        <v>0</v>
      </c>
      <c r="K97">
        <f t="shared" si="4"/>
        <v>8.427500000000002</v>
      </c>
      <c r="L97" t="str">
        <f t="shared" si="5"/>
        <v>Apto</v>
      </c>
      <c r="M97" t="s">
        <v>37</v>
      </c>
    </row>
    <row r="98" spans="1:13" x14ac:dyDescent="0.2">
      <c r="A98" t="s">
        <v>72</v>
      </c>
      <c r="B98" t="s">
        <v>73</v>
      </c>
      <c r="C98" t="s">
        <v>18</v>
      </c>
      <c r="D98" t="s">
        <v>16</v>
      </c>
      <c r="E98">
        <v>9.1</v>
      </c>
      <c r="F98">
        <v>9.3000000000000007</v>
      </c>
      <c r="G98">
        <v>8.8000000000000007</v>
      </c>
      <c r="H98">
        <v>9.3000000000000007</v>
      </c>
      <c r="I98">
        <v>89</v>
      </c>
      <c r="J98">
        <v>1</v>
      </c>
      <c r="K98">
        <f t="shared" ref="K98:K129" si="6">E98*0.25+F98*0.2+G98*0.2+H98*0.3+I98/100*0.05-J98*0.1</f>
        <v>8.6294999999999984</v>
      </c>
      <c r="L98" t="str">
        <f t="shared" ref="L98:L129" si="7">IF(K98&gt;=5,"Apto","No apto")</f>
        <v>Apto</v>
      </c>
      <c r="M98" t="s">
        <v>40</v>
      </c>
    </row>
    <row r="99" spans="1:13" x14ac:dyDescent="0.2">
      <c r="A99" t="s">
        <v>72</v>
      </c>
      <c r="B99" t="s">
        <v>73</v>
      </c>
      <c r="C99" t="s">
        <v>21</v>
      </c>
      <c r="D99" t="s">
        <v>19</v>
      </c>
      <c r="E99">
        <v>9.6</v>
      </c>
      <c r="F99">
        <v>8.6999999999999993</v>
      </c>
      <c r="G99">
        <v>9.4</v>
      </c>
      <c r="H99">
        <v>9.8000000000000007</v>
      </c>
      <c r="I99">
        <v>93</v>
      </c>
      <c r="J99">
        <v>2</v>
      </c>
      <c r="K99">
        <f t="shared" si="6"/>
        <v>8.8064999999999998</v>
      </c>
      <c r="L99" t="str">
        <f t="shared" si="7"/>
        <v>Apto</v>
      </c>
      <c r="M99" t="s">
        <v>43</v>
      </c>
    </row>
    <row r="100" spans="1:13" x14ac:dyDescent="0.2">
      <c r="A100" t="s">
        <v>72</v>
      </c>
      <c r="B100" t="s">
        <v>73</v>
      </c>
      <c r="C100" t="s">
        <v>24</v>
      </c>
      <c r="D100" t="s">
        <v>22</v>
      </c>
      <c r="E100">
        <v>10</v>
      </c>
      <c r="F100">
        <v>9.1999999999999993</v>
      </c>
      <c r="G100">
        <v>10</v>
      </c>
      <c r="H100">
        <v>10</v>
      </c>
      <c r="I100">
        <v>97</v>
      </c>
      <c r="J100">
        <v>3</v>
      </c>
      <c r="K100">
        <f t="shared" si="6"/>
        <v>9.0884999999999998</v>
      </c>
      <c r="L100" t="str">
        <f t="shared" si="7"/>
        <v>Apto</v>
      </c>
      <c r="M100" t="s">
        <v>46</v>
      </c>
    </row>
    <row r="101" spans="1:13" x14ac:dyDescent="0.2">
      <c r="A101" t="s">
        <v>72</v>
      </c>
      <c r="B101" t="s">
        <v>73</v>
      </c>
      <c r="C101" t="s">
        <v>27</v>
      </c>
      <c r="D101" t="s">
        <v>25</v>
      </c>
      <c r="E101">
        <v>10</v>
      </c>
      <c r="F101">
        <v>9.6999999999999993</v>
      </c>
      <c r="G101">
        <v>9.5</v>
      </c>
      <c r="H101">
        <v>10</v>
      </c>
      <c r="I101">
        <v>72</v>
      </c>
      <c r="J101">
        <v>0</v>
      </c>
      <c r="K101">
        <f t="shared" si="6"/>
        <v>9.3759999999999994</v>
      </c>
      <c r="L101" t="str">
        <f t="shared" si="7"/>
        <v>Apto</v>
      </c>
      <c r="M101" t="s">
        <v>49</v>
      </c>
    </row>
    <row r="102" spans="1:13" x14ac:dyDescent="0.2">
      <c r="A102" t="s">
        <v>74</v>
      </c>
      <c r="B102" t="s">
        <v>75</v>
      </c>
      <c r="C102" t="s">
        <v>15</v>
      </c>
      <c r="D102" t="s">
        <v>16</v>
      </c>
      <c r="E102">
        <v>9.4</v>
      </c>
      <c r="F102">
        <v>8.8000000000000007</v>
      </c>
      <c r="G102">
        <v>9</v>
      </c>
      <c r="H102">
        <v>10</v>
      </c>
      <c r="I102">
        <v>90</v>
      </c>
      <c r="J102">
        <v>1</v>
      </c>
      <c r="K102">
        <f t="shared" si="6"/>
        <v>8.8550000000000004</v>
      </c>
      <c r="L102" t="str">
        <f t="shared" si="7"/>
        <v>Apto</v>
      </c>
      <c r="M102" t="s">
        <v>40</v>
      </c>
    </row>
    <row r="103" spans="1:13" x14ac:dyDescent="0.2">
      <c r="A103" t="s">
        <v>74</v>
      </c>
      <c r="B103" t="s">
        <v>75</v>
      </c>
      <c r="C103" t="s">
        <v>18</v>
      </c>
      <c r="D103" t="s">
        <v>19</v>
      </c>
      <c r="E103">
        <v>10</v>
      </c>
      <c r="F103">
        <v>9.3000000000000007</v>
      </c>
      <c r="G103">
        <v>9.6</v>
      </c>
      <c r="H103">
        <v>10</v>
      </c>
      <c r="I103">
        <v>94</v>
      </c>
      <c r="J103">
        <v>2</v>
      </c>
      <c r="K103">
        <f t="shared" si="6"/>
        <v>9.1270000000000024</v>
      </c>
      <c r="L103" t="str">
        <f t="shared" si="7"/>
        <v>Apto</v>
      </c>
      <c r="M103" t="s">
        <v>43</v>
      </c>
    </row>
    <row r="104" spans="1:13" x14ac:dyDescent="0.2">
      <c r="A104" t="s">
        <v>74</v>
      </c>
      <c r="B104" t="s">
        <v>75</v>
      </c>
      <c r="C104" t="s">
        <v>21</v>
      </c>
      <c r="D104" t="s">
        <v>22</v>
      </c>
      <c r="E104">
        <v>5.5</v>
      </c>
      <c r="F104">
        <v>4.7</v>
      </c>
      <c r="G104">
        <v>5.0999999999999996</v>
      </c>
      <c r="H104">
        <v>5</v>
      </c>
      <c r="I104">
        <v>98</v>
      </c>
      <c r="J104">
        <v>3</v>
      </c>
      <c r="K104">
        <f t="shared" si="6"/>
        <v>4.5840000000000005</v>
      </c>
      <c r="L104" t="str">
        <f t="shared" si="7"/>
        <v>No apto</v>
      </c>
      <c r="M104" t="s">
        <v>46</v>
      </c>
    </row>
    <row r="105" spans="1:13" x14ac:dyDescent="0.2">
      <c r="A105" t="s">
        <v>74</v>
      </c>
      <c r="B105" t="s">
        <v>75</v>
      </c>
      <c r="C105" t="s">
        <v>24</v>
      </c>
      <c r="D105" t="s">
        <v>25</v>
      </c>
      <c r="E105">
        <v>6</v>
      </c>
      <c r="F105">
        <v>5.0999999999999996</v>
      </c>
      <c r="G105">
        <v>5.8</v>
      </c>
      <c r="H105">
        <v>5.5</v>
      </c>
      <c r="I105">
        <v>73</v>
      </c>
      <c r="J105">
        <v>0</v>
      </c>
      <c r="K105">
        <f t="shared" si="6"/>
        <v>5.3665000000000003</v>
      </c>
      <c r="L105" t="str">
        <f t="shared" si="7"/>
        <v>Apto</v>
      </c>
      <c r="M105" t="s">
        <v>49</v>
      </c>
    </row>
    <row r="106" spans="1:13" x14ac:dyDescent="0.2">
      <c r="A106" t="s">
        <v>74</v>
      </c>
      <c r="B106" t="s">
        <v>75</v>
      </c>
      <c r="C106" t="s">
        <v>27</v>
      </c>
      <c r="D106" t="s">
        <v>16</v>
      </c>
      <c r="E106">
        <v>5.3</v>
      </c>
      <c r="F106">
        <v>5.6</v>
      </c>
      <c r="G106">
        <v>5.3</v>
      </c>
      <c r="H106">
        <v>6</v>
      </c>
      <c r="I106">
        <v>77</v>
      </c>
      <c r="J106">
        <v>1</v>
      </c>
      <c r="K106">
        <f t="shared" si="6"/>
        <v>5.2435</v>
      </c>
      <c r="L106" t="str">
        <f t="shared" si="7"/>
        <v>Apto</v>
      </c>
      <c r="M106" t="s">
        <v>17</v>
      </c>
    </row>
    <row r="107" spans="1:13" x14ac:dyDescent="0.2">
      <c r="A107" t="s">
        <v>76</v>
      </c>
      <c r="B107" t="s">
        <v>77</v>
      </c>
      <c r="C107" t="s">
        <v>15</v>
      </c>
      <c r="D107" t="s">
        <v>19</v>
      </c>
      <c r="E107">
        <v>5.3</v>
      </c>
      <c r="F107">
        <v>4.8</v>
      </c>
      <c r="G107">
        <v>4.8</v>
      </c>
      <c r="H107">
        <v>5.3</v>
      </c>
      <c r="I107">
        <v>95</v>
      </c>
      <c r="J107">
        <v>2</v>
      </c>
      <c r="K107">
        <f t="shared" si="6"/>
        <v>4.6825000000000001</v>
      </c>
      <c r="L107" t="str">
        <f t="shared" si="7"/>
        <v>No apto</v>
      </c>
      <c r="M107" t="s">
        <v>43</v>
      </c>
    </row>
    <row r="108" spans="1:13" x14ac:dyDescent="0.2">
      <c r="A108" t="s">
        <v>76</v>
      </c>
      <c r="B108" t="s">
        <v>77</v>
      </c>
      <c r="C108" t="s">
        <v>18</v>
      </c>
      <c r="D108" t="s">
        <v>22</v>
      </c>
      <c r="E108">
        <v>5.9</v>
      </c>
      <c r="F108">
        <v>5.2</v>
      </c>
      <c r="G108">
        <v>5.4</v>
      </c>
      <c r="H108">
        <v>5.8</v>
      </c>
      <c r="I108">
        <v>99</v>
      </c>
      <c r="J108">
        <v>3</v>
      </c>
      <c r="K108">
        <f t="shared" si="6"/>
        <v>5.0845000000000002</v>
      </c>
      <c r="L108" t="str">
        <f t="shared" si="7"/>
        <v>Apto</v>
      </c>
      <c r="M108" t="s">
        <v>46</v>
      </c>
    </row>
    <row r="109" spans="1:13" x14ac:dyDescent="0.2">
      <c r="A109" t="s">
        <v>76</v>
      </c>
      <c r="B109" t="s">
        <v>77</v>
      </c>
      <c r="C109" t="s">
        <v>21</v>
      </c>
      <c r="D109" t="s">
        <v>25</v>
      </c>
      <c r="E109">
        <v>6.4</v>
      </c>
      <c r="F109">
        <v>5.7</v>
      </c>
      <c r="G109">
        <v>6</v>
      </c>
      <c r="H109">
        <v>6.4</v>
      </c>
      <c r="I109">
        <v>74</v>
      </c>
      <c r="J109">
        <v>0</v>
      </c>
      <c r="K109">
        <f t="shared" si="6"/>
        <v>5.8970000000000002</v>
      </c>
      <c r="L109" t="str">
        <f t="shared" si="7"/>
        <v>Apto</v>
      </c>
      <c r="M109" t="s">
        <v>49</v>
      </c>
    </row>
    <row r="110" spans="1:13" x14ac:dyDescent="0.2">
      <c r="A110" t="s">
        <v>76</v>
      </c>
      <c r="B110" t="s">
        <v>77</v>
      </c>
      <c r="C110" t="s">
        <v>24</v>
      </c>
      <c r="D110" t="s">
        <v>16</v>
      </c>
      <c r="E110">
        <v>5.7</v>
      </c>
      <c r="F110">
        <v>6.2</v>
      </c>
      <c r="G110">
        <v>5.5</v>
      </c>
      <c r="H110">
        <v>6.9</v>
      </c>
      <c r="I110">
        <v>78</v>
      </c>
      <c r="J110">
        <v>1</v>
      </c>
      <c r="K110">
        <f t="shared" si="6"/>
        <v>5.774</v>
      </c>
      <c r="L110" t="str">
        <f t="shared" si="7"/>
        <v>Apto</v>
      </c>
      <c r="M110" t="s">
        <v>17</v>
      </c>
    </row>
    <row r="111" spans="1:13" x14ac:dyDescent="0.2">
      <c r="A111" t="s">
        <v>76</v>
      </c>
      <c r="B111" t="s">
        <v>77</v>
      </c>
      <c r="C111" t="s">
        <v>27</v>
      </c>
      <c r="D111" t="s">
        <v>19</v>
      </c>
      <c r="E111">
        <v>6.2</v>
      </c>
      <c r="F111">
        <v>5.6</v>
      </c>
      <c r="G111">
        <v>6.1</v>
      </c>
      <c r="H111">
        <v>6.3</v>
      </c>
      <c r="I111">
        <v>82</v>
      </c>
      <c r="J111">
        <v>2</v>
      </c>
      <c r="K111">
        <f t="shared" si="6"/>
        <v>5.6209999999999996</v>
      </c>
      <c r="L111" t="str">
        <f t="shared" si="7"/>
        <v>Apto</v>
      </c>
      <c r="M111" t="s">
        <v>20</v>
      </c>
    </row>
    <row r="112" spans="1:13" x14ac:dyDescent="0.2">
      <c r="A112" t="s">
        <v>78</v>
      </c>
      <c r="B112" t="s">
        <v>79</v>
      </c>
      <c r="C112" t="s">
        <v>15</v>
      </c>
      <c r="D112" t="s">
        <v>22</v>
      </c>
      <c r="E112">
        <v>6.2</v>
      </c>
      <c r="F112">
        <v>5.8</v>
      </c>
      <c r="G112">
        <v>5.6</v>
      </c>
      <c r="H112">
        <v>6.7</v>
      </c>
      <c r="I112">
        <v>100</v>
      </c>
      <c r="J112">
        <v>3</v>
      </c>
      <c r="K112">
        <f t="shared" si="6"/>
        <v>5.59</v>
      </c>
      <c r="L112" t="str">
        <f t="shared" si="7"/>
        <v>Apto</v>
      </c>
      <c r="M112" t="s">
        <v>46</v>
      </c>
    </row>
    <row r="113" spans="1:13" x14ac:dyDescent="0.2">
      <c r="A113" t="s">
        <v>78</v>
      </c>
      <c r="B113" t="s">
        <v>79</v>
      </c>
      <c r="C113" t="s">
        <v>18</v>
      </c>
      <c r="D113" t="s">
        <v>25</v>
      </c>
      <c r="E113">
        <v>6.8</v>
      </c>
      <c r="F113">
        <v>6.3</v>
      </c>
      <c r="G113">
        <v>6.2</v>
      </c>
      <c r="H113">
        <v>6.1</v>
      </c>
      <c r="I113">
        <v>75</v>
      </c>
      <c r="J113">
        <v>0</v>
      </c>
      <c r="K113">
        <f t="shared" si="6"/>
        <v>6.0674999999999999</v>
      </c>
      <c r="L113" t="str">
        <f t="shared" si="7"/>
        <v>Apto</v>
      </c>
      <c r="M113" t="s">
        <v>49</v>
      </c>
    </row>
    <row r="114" spans="1:13" x14ac:dyDescent="0.2">
      <c r="A114" t="s">
        <v>78</v>
      </c>
      <c r="B114" t="s">
        <v>79</v>
      </c>
      <c r="C114" t="s">
        <v>21</v>
      </c>
      <c r="D114" t="s">
        <v>16</v>
      </c>
      <c r="E114">
        <v>6.1</v>
      </c>
      <c r="F114">
        <v>5.7</v>
      </c>
      <c r="G114">
        <v>6.9</v>
      </c>
      <c r="H114">
        <v>6.6</v>
      </c>
      <c r="I114">
        <v>79</v>
      </c>
      <c r="J114">
        <v>1</v>
      </c>
      <c r="K114">
        <f t="shared" si="6"/>
        <v>5.9645000000000001</v>
      </c>
      <c r="L114" t="str">
        <f t="shared" si="7"/>
        <v>Apto</v>
      </c>
      <c r="M114" t="s">
        <v>17</v>
      </c>
    </row>
    <row r="115" spans="1:13" x14ac:dyDescent="0.2">
      <c r="A115" t="s">
        <v>78</v>
      </c>
      <c r="B115" t="s">
        <v>79</v>
      </c>
      <c r="C115" t="s">
        <v>24</v>
      </c>
      <c r="D115" t="s">
        <v>19</v>
      </c>
      <c r="E115">
        <v>6.7</v>
      </c>
      <c r="F115">
        <v>6.2</v>
      </c>
      <c r="G115">
        <v>6.4</v>
      </c>
      <c r="H115">
        <v>7.1</v>
      </c>
      <c r="I115">
        <v>83</v>
      </c>
      <c r="J115">
        <v>2</v>
      </c>
      <c r="K115">
        <f t="shared" si="6"/>
        <v>6.1665000000000001</v>
      </c>
      <c r="L115" t="str">
        <f t="shared" si="7"/>
        <v>Apto</v>
      </c>
      <c r="M115" t="s">
        <v>20</v>
      </c>
    </row>
    <row r="116" spans="1:13" x14ac:dyDescent="0.2">
      <c r="A116" t="s">
        <v>78</v>
      </c>
      <c r="B116" t="s">
        <v>79</v>
      </c>
      <c r="C116" t="s">
        <v>27</v>
      </c>
      <c r="D116" t="s">
        <v>22</v>
      </c>
      <c r="E116">
        <v>7.2</v>
      </c>
      <c r="F116">
        <v>6.7</v>
      </c>
      <c r="G116">
        <v>7</v>
      </c>
      <c r="H116">
        <v>7.7</v>
      </c>
      <c r="I116">
        <v>87</v>
      </c>
      <c r="J116">
        <v>3</v>
      </c>
      <c r="K116">
        <f t="shared" si="6"/>
        <v>6.5934999999999997</v>
      </c>
      <c r="L116" t="str">
        <f t="shared" si="7"/>
        <v>Apto</v>
      </c>
      <c r="M116" t="s">
        <v>23</v>
      </c>
    </row>
    <row r="117" spans="1:13" x14ac:dyDescent="0.2">
      <c r="A117" t="s">
        <v>80</v>
      </c>
      <c r="B117" t="s">
        <v>81</v>
      </c>
      <c r="C117" t="s">
        <v>15</v>
      </c>
      <c r="D117" t="s">
        <v>25</v>
      </c>
      <c r="E117">
        <v>7.2</v>
      </c>
      <c r="F117">
        <v>5.8</v>
      </c>
      <c r="G117">
        <v>6.5</v>
      </c>
      <c r="H117">
        <v>6.9</v>
      </c>
      <c r="I117">
        <v>76</v>
      </c>
      <c r="J117">
        <v>0</v>
      </c>
      <c r="K117">
        <f t="shared" si="6"/>
        <v>6.3680000000000003</v>
      </c>
      <c r="L117" t="str">
        <f t="shared" si="7"/>
        <v>Apto</v>
      </c>
      <c r="M117" t="s">
        <v>49</v>
      </c>
    </row>
    <row r="118" spans="1:13" x14ac:dyDescent="0.2">
      <c r="A118" t="s">
        <v>80</v>
      </c>
      <c r="B118" t="s">
        <v>81</v>
      </c>
      <c r="C118" t="s">
        <v>18</v>
      </c>
      <c r="D118" t="s">
        <v>16</v>
      </c>
      <c r="E118">
        <v>6.5</v>
      </c>
      <c r="F118">
        <v>6.3</v>
      </c>
      <c r="G118">
        <v>7.1</v>
      </c>
      <c r="H118">
        <v>7.5</v>
      </c>
      <c r="I118">
        <v>80</v>
      </c>
      <c r="J118">
        <v>1</v>
      </c>
      <c r="K118">
        <f t="shared" si="6"/>
        <v>6.4950000000000001</v>
      </c>
      <c r="L118" t="str">
        <f t="shared" si="7"/>
        <v>Apto</v>
      </c>
      <c r="M118" t="s">
        <v>17</v>
      </c>
    </row>
    <row r="119" spans="1:13" x14ac:dyDescent="0.2">
      <c r="A119" t="s">
        <v>80</v>
      </c>
      <c r="B119" t="s">
        <v>81</v>
      </c>
      <c r="C119" t="s">
        <v>21</v>
      </c>
      <c r="D119" t="s">
        <v>19</v>
      </c>
      <c r="E119">
        <v>7.1</v>
      </c>
      <c r="F119">
        <v>6.8</v>
      </c>
      <c r="G119">
        <v>6.6</v>
      </c>
      <c r="H119">
        <v>8</v>
      </c>
      <c r="I119">
        <v>84</v>
      </c>
      <c r="J119">
        <v>2</v>
      </c>
      <c r="K119">
        <f t="shared" si="6"/>
        <v>6.6970000000000001</v>
      </c>
      <c r="L119" t="str">
        <f t="shared" si="7"/>
        <v>Apto</v>
      </c>
      <c r="M119" t="s">
        <v>20</v>
      </c>
    </row>
    <row r="120" spans="1:13" x14ac:dyDescent="0.2">
      <c r="A120" t="s">
        <v>80</v>
      </c>
      <c r="B120" t="s">
        <v>81</v>
      </c>
      <c r="C120" t="s">
        <v>24</v>
      </c>
      <c r="D120" t="s">
        <v>22</v>
      </c>
      <c r="E120">
        <v>7.6</v>
      </c>
      <c r="F120">
        <v>7.2</v>
      </c>
      <c r="G120">
        <v>7.2</v>
      </c>
      <c r="H120">
        <v>7.4</v>
      </c>
      <c r="I120">
        <v>88</v>
      </c>
      <c r="J120">
        <v>3</v>
      </c>
      <c r="K120">
        <f t="shared" si="6"/>
        <v>6.7439999999999998</v>
      </c>
      <c r="L120" t="str">
        <f t="shared" si="7"/>
        <v>Apto</v>
      </c>
      <c r="M120" t="s">
        <v>23</v>
      </c>
    </row>
    <row r="121" spans="1:13" x14ac:dyDescent="0.2">
      <c r="A121" t="s">
        <v>80</v>
      </c>
      <c r="B121" t="s">
        <v>81</v>
      </c>
      <c r="C121" t="s">
        <v>27</v>
      </c>
      <c r="D121" t="s">
        <v>25</v>
      </c>
      <c r="E121">
        <v>8.1999999999999993</v>
      </c>
      <c r="F121">
        <v>7.7</v>
      </c>
      <c r="G121">
        <v>7.8</v>
      </c>
      <c r="H121">
        <v>7.9</v>
      </c>
      <c r="I121">
        <v>92</v>
      </c>
      <c r="J121">
        <v>0</v>
      </c>
      <c r="K121">
        <f t="shared" si="6"/>
        <v>7.5660000000000007</v>
      </c>
      <c r="L121" t="str">
        <f t="shared" si="7"/>
        <v>Apto</v>
      </c>
      <c r="M121" t="s">
        <v>26</v>
      </c>
    </row>
    <row r="122" spans="1:13" x14ac:dyDescent="0.2">
      <c r="A122" t="s">
        <v>82</v>
      </c>
      <c r="B122" t="s">
        <v>83</v>
      </c>
      <c r="C122" t="s">
        <v>15</v>
      </c>
      <c r="D122" t="s">
        <v>16</v>
      </c>
      <c r="E122">
        <v>6.9</v>
      </c>
      <c r="F122">
        <v>6.9</v>
      </c>
      <c r="G122">
        <v>7.3</v>
      </c>
      <c r="H122">
        <v>7.2</v>
      </c>
      <c r="I122">
        <v>81</v>
      </c>
      <c r="J122">
        <v>1</v>
      </c>
      <c r="K122">
        <f t="shared" si="6"/>
        <v>6.6655000000000006</v>
      </c>
      <c r="L122" t="str">
        <f t="shared" si="7"/>
        <v>Apto</v>
      </c>
      <c r="M122" t="s">
        <v>17</v>
      </c>
    </row>
    <row r="123" spans="1:13" x14ac:dyDescent="0.2">
      <c r="A123" t="s">
        <v>82</v>
      </c>
      <c r="B123" t="s">
        <v>83</v>
      </c>
      <c r="C123" t="s">
        <v>18</v>
      </c>
      <c r="D123" t="s">
        <v>19</v>
      </c>
      <c r="E123">
        <v>7.5</v>
      </c>
      <c r="F123">
        <v>7.3</v>
      </c>
      <c r="G123">
        <v>8</v>
      </c>
      <c r="H123">
        <v>7.7</v>
      </c>
      <c r="I123">
        <v>85</v>
      </c>
      <c r="J123">
        <v>2</v>
      </c>
      <c r="K123">
        <f t="shared" si="6"/>
        <v>7.0875000000000012</v>
      </c>
      <c r="L123" t="str">
        <f t="shared" si="7"/>
        <v>Apto</v>
      </c>
      <c r="M123" t="s">
        <v>20</v>
      </c>
    </row>
    <row r="124" spans="1:13" x14ac:dyDescent="0.2">
      <c r="A124" t="s">
        <v>82</v>
      </c>
      <c r="B124" t="s">
        <v>83</v>
      </c>
      <c r="C124" t="s">
        <v>21</v>
      </c>
      <c r="D124" t="s">
        <v>22</v>
      </c>
      <c r="E124">
        <v>8</v>
      </c>
      <c r="F124">
        <v>7.8</v>
      </c>
      <c r="G124">
        <v>7.5</v>
      </c>
      <c r="H124">
        <v>8.1999999999999993</v>
      </c>
      <c r="I124">
        <v>89</v>
      </c>
      <c r="J124">
        <v>3</v>
      </c>
      <c r="K124">
        <f t="shared" si="6"/>
        <v>7.2645</v>
      </c>
      <c r="L124" t="str">
        <f t="shared" si="7"/>
        <v>Apto</v>
      </c>
      <c r="M124" t="s">
        <v>23</v>
      </c>
    </row>
    <row r="125" spans="1:13" x14ac:dyDescent="0.2">
      <c r="A125" t="s">
        <v>82</v>
      </c>
      <c r="B125" t="s">
        <v>83</v>
      </c>
      <c r="C125" t="s">
        <v>24</v>
      </c>
      <c r="D125" t="s">
        <v>25</v>
      </c>
      <c r="E125">
        <v>8.6</v>
      </c>
      <c r="F125">
        <v>8.3000000000000007</v>
      </c>
      <c r="G125">
        <v>8.1</v>
      </c>
      <c r="H125">
        <v>8.8000000000000007</v>
      </c>
      <c r="I125">
        <v>93</v>
      </c>
      <c r="J125">
        <v>0</v>
      </c>
      <c r="K125">
        <f t="shared" si="6"/>
        <v>8.1165000000000003</v>
      </c>
      <c r="L125" t="str">
        <f t="shared" si="7"/>
        <v>Apto</v>
      </c>
      <c r="M125" t="s">
        <v>26</v>
      </c>
    </row>
    <row r="126" spans="1:13" x14ac:dyDescent="0.2">
      <c r="A126" t="s">
        <v>82</v>
      </c>
      <c r="B126" t="s">
        <v>83</v>
      </c>
      <c r="C126" t="s">
        <v>27</v>
      </c>
      <c r="D126" t="s">
        <v>16</v>
      </c>
      <c r="E126">
        <v>9.1</v>
      </c>
      <c r="F126">
        <v>7.7</v>
      </c>
      <c r="G126">
        <v>8.6999999999999993</v>
      </c>
      <c r="H126">
        <v>9.3000000000000007</v>
      </c>
      <c r="I126">
        <v>97</v>
      </c>
      <c r="J126">
        <v>1</v>
      </c>
      <c r="K126">
        <f t="shared" si="6"/>
        <v>8.2934999999999999</v>
      </c>
      <c r="L126" t="str">
        <f t="shared" si="7"/>
        <v>Apto</v>
      </c>
      <c r="M126" t="s">
        <v>28</v>
      </c>
    </row>
    <row r="127" spans="1:13" x14ac:dyDescent="0.2">
      <c r="A127" t="s">
        <v>84</v>
      </c>
      <c r="B127" t="s">
        <v>85</v>
      </c>
      <c r="C127" t="s">
        <v>15</v>
      </c>
      <c r="D127" t="s">
        <v>19</v>
      </c>
      <c r="E127">
        <v>7.8</v>
      </c>
      <c r="F127">
        <v>7.9</v>
      </c>
      <c r="G127">
        <v>8.1999999999999993</v>
      </c>
      <c r="H127">
        <v>8.6</v>
      </c>
      <c r="I127">
        <v>86</v>
      </c>
      <c r="J127">
        <v>2</v>
      </c>
      <c r="K127">
        <f t="shared" si="6"/>
        <v>7.593</v>
      </c>
      <c r="L127" t="str">
        <f t="shared" si="7"/>
        <v>Apto</v>
      </c>
      <c r="M127" t="s">
        <v>20</v>
      </c>
    </row>
    <row r="128" spans="1:13" x14ac:dyDescent="0.2">
      <c r="A128" t="s">
        <v>84</v>
      </c>
      <c r="B128" t="s">
        <v>85</v>
      </c>
      <c r="C128" t="s">
        <v>18</v>
      </c>
      <c r="D128" t="s">
        <v>22</v>
      </c>
      <c r="E128">
        <v>8.4</v>
      </c>
      <c r="F128">
        <v>8.4</v>
      </c>
      <c r="G128">
        <v>7.7</v>
      </c>
      <c r="H128">
        <v>9.1</v>
      </c>
      <c r="I128">
        <v>90</v>
      </c>
      <c r="J128">
        <v>3</v>
      </c>
      <c r="K128">
        <f t="shared" si="6"/>
        <v>7.7950000000000008</v>
      </c>
      <c r="L128" t="str">
        <f t="shared" si="7"/>
        <v>Apto</v>
      </c>
      <c r="M128" t="s">
        <v>23</v>
      </c>
    </row>
    <row r="129" spans="1:13" x14ac:dyDescent="0.2">
      <c r="A129" t="s">
        <v>84</v>
      </c>
      <c r="B129" t="s">
        <v>85</v>
      </c>
      <c r="C129" t="s">
        <v>21</v>
      </c>
      <c r="D129" t="s">
        <v>25</v>
      </c>
      <c r="E129">
        <v>8.9</v>
      </c>
      <c r="F129">
        <v>7.8</v>
      </c>
      <c r="G129">
        <v>8.3000000000000007</v>
      </c>
      <c r="H129">
        <v>8.5</v>
      </c>
      <c r="I129">
        <v>94</v>
      </c>
      <c r="J129">
        <v>0</v>
      </c>
      <c r="K129">
        <f t="shared" si="6"/>
        <v>8.0419999999999998</v>
      </c>
      <c r="L129" t="str">
        <f t="shared" si="7"/>
        <v>Apto</v>
      </c>
      <c r="M129" t="s">
        <v>26</v>
      </c>
    </row>
    <row r="130" spans="1:13" x14ac:dyDescent="0.2">
      <c r="A130" t="s">
        <v>84</v>
      </c>
      <c r="B130" t="s">
        <v>85</v>
      </c>
      <c r="C130" t="s">
        <v>24</v>
      </c>
      <c r="D130" t="s">
        <v>16</v>
      </c>
      <c r="E130">
        <v>9.5</v>
      </c>
      <c r="F130">
        <v>8.3000000000000007</v>
      </c>
      <c r="G130">
        <v>8.9</v>
      </c>
      <c r="H130">
        <v>9</v>
      </c>
      <c r="I130">
        <v>98</v>
      </c>
      <c r="J130">
        <v>1</v>
      </c>
      <c r="K130">
        <f t="shared" ref="K130:K161" si="8">E130*0.25+F130*0.2+G130*0.2+H130*0.3+I130/100*0.05-J130*0.1</f>
        <v>8.4640000000000004</v>
      </c>
      <c r="L130" t="str">
        <f t="shared" ref="L130:L161" si="9">IF(K130&gt;=5,"Apto","No apto")</f>
        <v>Apto</v>
      </c>
      <c r="M130" t="s">
        <v>28</v>
      </c>
    </row>
    <row r="131" spans="1:13" x14ac:dyDescent="0.2">
      <c r="A131" t="s">
        <v>84</v>
      </c>
      <c r="B131" t="s">
        <v>85</v>
      </c>
      <c r="C131" t="s">
        <v>27</v>
      </c>
      <c r="D131" t="s">
        <v>19</v>
      </c>
      <c r="E131">
        <v>8.8000000000000007</v>
      </c>
      <c r="F131">
        <v>8.8000000000000007</v>
      </c>
      <c r="G131">
        <v>9.6</v>
      </c>
      <c r="H131">
        <v>9.5</v>
      </c>
      <c r="I131">
        <v>73</v>
      </c>
      <c r="J131">
        <v>2</v>
      </c>
      <c r="K131">
        <f t="shared" si="8"/>
        <v>8.5665000000000013</v>
      </c>
      <c r="L131" t="str">
        <f t="shared" si="9"/>
        <v>Apto</v>
      </c>
      <c r="M131" t="s">
        <v>31</v>
      </c>
    </row>
    <row r="132" spans="1:13" x14ac:dyDescent="0.2">
      <c r="A132" t="s">
        <v>86</v>
      </c>
      <c r="B132" t="s">
        <v>87</v>
      </c>
      <c r="C132" t="s">
        <v>15</v>
      </c>
      <c r="D132" t="s">
        <v>22</v>
      </c>
      <c r="E132">
        <v>8.8000000000000007</v>
      </c>
      <c r="F132">
        <v>7.9</v>
      </c>
      <c r="G132">
        <v>9.1</v>
      </c>
      <c r="H132">
        <v>8.8000000000000007</v>
      </c>
      <c r="I132">
        <v>91</v>
      </c>
      <c r="J132">
        <v>3</v>
      </c>
      <c r="K132">
        <f t="shared" si="8"/>
        <v>7.9855000000000009</v>
      </c>
      <c r="L132" t="str">
        <f t="shared" si="9"/>
        <v>Apto</v>
      </c>
      <c r="M132" t="s">
        <v>23</v>
      </c>
    </row>
    <row r="133" spans="1:13" x14ac:dyDescent="0.2">
      <c r="A133" t="s">
        <v>86</v>
      </c>
      <c r="B133" t="s">
        <v>87</v>
      </c>
      <c r="C133" t="s">
        <v>18</v>
      </c>
      <c r="D133" t="s">
        <v>25</v>
      </c>
      <c r="E133">
        <v>9.3000000000000007</v>
      </c>
      <c r="F133">
        <v>8.4</v>
      </c>
      <c r="G133">
        <v>8.6</v>
      </c>
      <c r="H133">
        <v>9.3000000000000007</v>
      </c>
      <c r="I133">
        <v>95</v>
      </c>
      <c r="J133">
        <v>0</v>
      </c>
      <c r="K133">
        <f t="shared" si="8"/>
        <v>8.5625</v>
      </c>
      <c r="L133" t="str">
        <f t="shared" si="9"/>
        <v>Apto</v>
      </c>
      <c r="M133" t="s">
        <v>26</v>
      </c>
    </row>
    <row r="134" spans="1:13" x14ac:dyDescent="0.2">
      <c r="A134" t="s">
        <v>86</v>
      </c>
      <c r="B134" t="s">
        <v>87</v>
      </c>
      <c r="C134" t="s">
        <v>21</v>
      </c>
      <c r="D134" t="s">
        <v>16</v>
      </c>
      <c r="E134">
        <v>9.9</v>
      </c>
      <c r="F134">
        <v>8.9</v>
      </c>
      <c r="G134">
        <v>9.1999999999999993</v>
      </c>
      <c r="H134">
        <v>9.9</v>
      </c>
      <c r="I134">
        <v>99</v>
      </c>
      <c r="J134">
        <v>1</v>
      </c>
      <c r="K134">
        <f t="shared" si="8"/>
        <v>9.0145000000000017</v>
      </c>
      <c r="L134" t="str">
        <f t="shared" si="9"/>
        <v>Apto</v>
      </c>
      <c r="M134" t="s">
        <v>28</v>
      </c>
    </row>
    <row r="135" spans="1:13" x14ac:dyDescent="0.2">
      <c r="A135" t="s">
        <v>86</v>
      </c>
      <c r="B135" t="s">
        <v>87</v>
      </c>
      <c r="C135" t="s">
        <v>24</v>
      </c>
      <c r="D135" t="s">
        <v>19</v>
      </c>
      <c r="E135">
        <v>9.1999999999999993</v>
      </c>
      <c r="F135">
        <v>9.3000000000000007</v>
      </c>
      <c r="G135">
        <v>9.8000000000000007</v>
      </c>
      <c r="H135">
        <v>10</v>
      </c>
      <c r="I135">
        <v>74</v>
      </c>
      <c r="J135">
        <v>2</v>
      </c>
      <c r="K135">
        <f t="shared" si="8"/>
        <v>8.9570000000000025</v>
      </c>
      <c r="L135" t="str">
        <f t="shared" si="9"/>
        <v>Apto</v>
      </c>
      <c r="M135" t="s">
        <v>31</v>
      </c>
    </row>
    <row r="136" spans="1:13" x14ac:dyDescent="0.2">
      <c r="A136" t="s">
        <v>86</v>
      </c>
      <c r="B136" t="s">
        <v>87</v>
      </c>
      <c r="C136" t="s">
        <v>27</v>
      </c>
      <c r="D136" t="s">
        <v>22</v>
      </c>
      <c r="E136">
        <v>9.8000000000000007</v>
      </c>
      <c r="F136">
        <v>9.8000000000000007</v>
      </c>
      <c r="G136">
        <v>9.3000000000000007</v>
      </c>
      <c r="H136">
        <v>9.8000000000000007</v>
      </c>
      <c r="I136">
        <v>78</v>
      </c>
      <c r="J136">
        <v>3</v>
      </c>
      <c r="K136">
        <f t="shared" si="8"/>
        <v>8.9489999999999998</v>
      </c>
      <c r="L136" t="str">
        <f t="shared" si="9"/>
        <v>Apto</v>
      </c>
      <c r="M136" t="s">
        <v>34</v>
      </c>
    </row>
    <row r="137" spans="1:13" x14ac:dyDescent="0.2">
      <c r="A137" t="s">
        <v>88</v>
      </c>
      <c r="B137" t="s">
        <v>89</v>
      </c>
      <c r="C137" t="s">
        <v>15</v>
      </c>
      <c r="D137" t="s">
        <v>25</v>
      </c>
      <c r="E137">
        <v>9.8000000000000007</v>
      </c>
      <c r="F137">
        <v>9</v>
      </c>
      <c r="G137">
        <v>8.8000000000000007</v>
      </c>
      <c r="H137">
        <v>10</v>
      </c>
      <c r="I137">
        <v>96</v>
      </c>
      <c r="J137">
        <v>0</v>
      </c>
      <c r="K137">
        <f t="shared" si="8"/>
        <v>9.0579999999999998</v>
      </c>
      <c r="L137" t="str">
        <f t="shared" si="9"/>
        <v>Apto</v>
      </c>
      <c r="M137" t="s">
        <v>26</v>
      </c>
    </row>
    <row r="138" spans="1:13" x14ac:dyDescent="0.2">
      <c r="A138" t="s">
        <v>88</v>
      </c>
      <c r="B138" t="s">
        <v>89</v>
      </c>
      <c r="C138" t="s">
        <v>18</v>
      </c>
      <c r="D138" t="s">
        <v>16</v>
      </c>
      <c r="E138">
        <v>10</v>
      </c>
      <c r="F138">
        <v>9.4</v>
      </c>
      <c r="G138">
        <v>9.4</v>
      </c>
      <c r="H138">
        <v>9.6</v>
      </c>
      <c r="I138">
        <v>100</v>
      </c>
      <c r="J138">
        <v>1</v>
      </c>
      <c r="K138">
        <f t="shared" si="8"/>
        <v>9.0900000000000016</v>
      </c>
      <c r="L138" t="str">
        <f t="shared" si="9"/>
        <v>Apto</v>
      </c>
      <c r="M138" t="s">
        <v>28</v>
      </c>
    </row>
    <row r="139" spans="1:13" x14ac:dyDescent="0.2">
      <c r="A139" t="s">
        <v>88</v>
      </c>
      <c r="B139" t="s">
        <v>89</v>
      </c>
      <c r="C139" t="s">
        <v>21</v>
      </c>
      <c r="D139" t="s">
        <v>19</v>
      </c>
      <c r="E139">
        <v>9.6</v>
      </c>
      <c r="F139">
        <v>9.9</v>
      </c>
      <c r="G139">
        <v>10</v>
      </c>
      <c r="H139">
        <v>10</v>
      </c>
      <c r="I139">
        <v>75</v>
      </c>
      <c r="J139">
        <v>2</v>
      </c>
      <c r="K139">
        <f t="shared" si="8"/>
        <v>9.2174999999999994</v>
      </c>
      <c r="L139" t="str">
        <f t="shared" si="9"/>
        <v>Apto</v>
      </c>
      <c r="M139" t="s">
        <v>31</v>
      </c>
    </row>
    <row r="140" spans="1:13" x14ac:dyDescent="0.2">
      <c r="A140" t="s">
        <v>88</v>
      </c>
      <c r="B140" t="s">
        <v>89</v>
      </c>
      <c r="C140" t="s">
        <v>24</v>
      </c>
      <c r="D140" t="s">
        <v>22</v>
      </c>
      <c r="E140">
        <v>5</v>
      </c>
      <c r="F140">
        <v>5.3</v>
      </c>
      <c r="G140">
        <v>5.6</v>
      </c>
      <c r="H140">
        <v>5.5</v>
      </c>
      <c r="I140">
        <v>79</v>
      </c>
      <c r="J140">
        <v>3</v>
      </c>
      <c r="K140">
        <f t="shared" si="8"/>
        <v>4.8195000000000006</v>
      </c>
      <c r="L140" t="str">
        <f t="shared" si="9"/>
        <v>No apto</v>
      </c>
      <c r="M140" t="s">
        <v>34</v>
      </c>
    </row>
    <row r="141" spans="1:13" x14ac:dyDescent="0.2">
      <c r="A141" t="s">
        <v>88</v>
      </c>
      <c r="B141" t="s">
        <v>89</v>
      </c>
      <c r="C141" t="s">
        <v>27</v>
      </c>
      <c r="D141" t="s">
        <v>25</v>
      </c>
      <c r="E141">
        <v>5.6</v>
      </c>
      <c r="F141">
        <v>4.7</v>
      </c>
      <c r="G141">
        <v>5.0999999999999996</v>
      </c>
      <c r="H141">
        <v>6.1</v>
      </c>
      <c r="I141">
        <v>83</v>
      </c>
      <c r="J141">
        <v>0</v>
      </c>
      <c r="K141">
        <f t="shared" si="8"/>
        <v>5.2314999999999996</v>
      </c>
      <c r="L141" t="str">
        <f t="shared" si="9"/>
        <v>Apto</v>
      </c>
      <c r="M141" t="s">
        <v>37</v>
      </c>
    </row>
    <row r="142" spans="1:13" x14ac:dyDescent="0.2">
      <c r="A142" t="s">
        <v>90</v>
      </c>
      <c r="B142" t="s">
        <v>91</v>
      </c>
      <c r="C142" t="s">
        <v>15</v>
      </c>
      <c r="D142" t="s">
        <v>16</v>
      </c>
      <c r="E142">
        <v>10</v>
      </c>
      <c r="F142">
        <v>10</v>
      </c>
      <c r="G142">
        <v>9.6999999999999993</v>
      </c>
      <c r="H142">
        <v>10</v>
      </c>
      <c r="I142">
        <v>72</v>
      </c>
      <c r="J142">
        <v>1</v>
      </c>
      <c r="K142">
        <f t="shared" si="8"/>
        <v>9.3759999999999994</v>
      </c>
      <c r="L142" t="str">
        <f t="shared" si="9"/>
        <v>Apto</v>
      </c>
      <c r="M142" t="s">
        <v>28</v>
      </c>
    </row>
    <row r="143" spans="1:13" x14ac:dyDescent="0.2">
      <c r="A143" t="s">
        <v>90</v>
      </c>
      <c r="B143" t="s">
        <v>91</v>
      </c>
      <c r="C143" t="s">
        <v>18</v>
      </c>
      <c r="D143" t="s">
        <v>19</v>
      </c>
      <c r="E143">
        <v>4.9000000000000004</v>
      </c>
      <c r="F143">
        <v>5.4</v>
      </c>
      <c r="G143">
        <v>5.2</v>
      </c>
      <c r="H143">
        <v>5.9</v>
      </c>
      <c r="I143">
        <v>76</v>
      </c>
      <c r="J143">
        <v>2</v>
      </c>
      <c r="K143">
        <f t="shared" si="8"/>
        <v>4.9530000000000003</v>
      </c>
      <c r="L143" t="str">
        <f t="shared" si="9"/>
        <v>No apto</v>
      </c>
      <c r="M143" t="s">
        <v>31</v>
      </c>
    </row>
    <row r="144" spans="1:13" x14ac:dyDescent="0.2">
      <c r="A144" t="s">
        <v>90</v>
      </c>
      <c r="B144" t="s">
        <v>91</v>
      </c>
      <c r="C144" t="s">
        <v>21</v>
      </c>
      <c r="D144" t="s">
        <v>22</v>
      </c>
      <c r="E144">
        <v>5.5</v>
      </c>
      <c r="F144">
        <v>4.8</v>
      </c>
      <c r="G144">
        <v>5.8</v>
      </c>
      <c r="H144">
        <v>6.4</v>
      </c>
      <c r="I144">
        <v>80</v>
      </c>
      <c r="J144">
        <v>3</v>
      </c>
      <c r="K144">
        <f t="shared" si="8"/>
        <v>5.1550000000000002</v>
      </c>
      <c r="L144" t="str">
        <f t="shared" si="9"/>
        <v>Apto</v>
      </c>
      <c r="M144" t="s">
        <v>34</v>
      </c>
    </row>
    <row r="145" spans="1:13" x14ac:dyDescent="0.2">
      <c r="A145" t="s">
        <v>90</v>
      </c>
      <c r="B145" t="s">
        <v>91</v>
      </c>
      <c r="C145" t="s">
        <v>24</v>
      </c>
      <c r="D145" t="s">
        <v>25</v>
      </c>
      <c r="E145">
        <v>6</v>
      </c>
      <c r="F145">
        <v>5.3</v>
      </c>
      <c r="G145">
        <v>5.3</v>
      </c>
      <c r="H145">
        <v>5.8</v>
      </c>
      <c r="I145">
        <v>84</v>
      </c>
      <c r="J145">
        <v>0</v>
      </c>
      <c r="K145">
        <f t="shared" si="8"/>
        <v>5.4020000000000001</v>
      </c>
      <c r="L145" t="str">
        <f t="shared" si="9"/>
        <v>Apto</v>
      </c>
      <c r="M145" t="s">
        <v>37</v>
      </c>
    </row>
    <row r="146" spans="1:13" x14ac:dyDescent="0.2">
      <c r="A146" t="s">
        <v>90</v>
      </c>
      <c r="B146" t="s">
        <v>91</v>
      </c>
      <c r="C146" t="s">
        <v>27</v>
      </c>
      <c r="D146" t="s">
        <v>16</v>
      </c>
      <c r="E146">
        <v>6.6</v>
      </c>
      <c r="F146">
        <v>5.8</v>
      </c>
      <c r="G146">
        <v>5.9</v>
      </c>
      <c r="H146">
        <v>6.3</v>
      </c>
      <c r="I146">
        <v>88</v>
      </c>
      <c r="J146">
        <v>1</v>
      </c>
      <c r="K146">
        <f t="shared" si="8"/>
        <v>5.8239999999999998</v>
      </c>
      <c r="L146" t="str">
        <f t="shared" si="9"/>
        <v>Apto</v>
      </c>
      <c r="M146" t="s">
        <v>40</v>
      </c>
    </row>
    <row r="147" spans="1:13" x14ac:dyDescent="0.2">
      <c r="A147" t="s">
        <v>92</v>
      </c>
      <c r="B147" t="s">
        <v>93</v>
      </c>
      <c r="C147" t="s">
        <v>15</v>
      </c>
      <c r="D147" t="s">
        <v>19</v>
      </c>
      <c r="E147">
        <v>5.3</v>
      </c>
      <c r="F147">
        <v>4.9000000000000004</v>
      </c>
      <c r="G147">
        <v>5.4</v>
      </c>
      <c r="H147">
        <v>5.6</v>
      </c>
      <c r="I147">
        <v>77</v>
      </c>
      <c r="J147">
        <v>2</v>
      </c>
      <c r="K147">
        <f t="shared" si="8"/>
        <v>4.9035000000000002</v>
      </c>
      <c r="L147" t="str">
        <f t="shared" si="9"/>
        <v>No apto</v>
      </c>
      <c r="M147" t="s">
        <v>31</v>
      </c>
    </row>
    <row r="148" spans="1:13" x14ac:dyDescent="0.2">
      <c r="A148" t="s">
        <v>92</v>
      </c>
      <c r="B148" t="s">
        <v>93</v>
      </c>
      <c r="C148" t="s">
        <v>18</v>
      </c>
      <c r="D148" t="s">
        <v>22</v>
      </c>
      <c r="E148">
        <v>5.9</v>
      </c>
      <c r="F148">
        <v>5.4</v>
      </c>
      <c r="G148">
        <v>6</v>
      </c>
      <c r="H148">
        <v>6.1</v>
      </c>
      <c r="I148">
        <v>81</v>
      </c>
      <c r="J148">
        <v>3</v>
      </c>
      <c r="K148">
        <f t="shared" si="8"/>
        <v>5.3254999999999999</v>
      </c>
      <c r="L148" t="str">
        <f t="shared" si="9"/>
        <v>Apto</v>
      </c>
      <c r="M148" t="s">
        <v>34</v>
      </c>
    </row>
    <row r="149" spans="1:13" x14ac:dyDescent="0.2">
      <c r="A149" t="s">
        <v>92</v>
      </c>
      <c r="B149" t="s">
        <v>93</v>
      </c>
      <c r="C149" t="s">
        <v>21</v>
      </c>
      <c r="D149" t="s">
        <v>25</v>
      </c>
      <c r="E149">
        <v>6.4</v>
      </c>
      <c r="F149">
        <v>5.9</v>
      </c>
      <c r="G149">
        <v>6.7</v>
      </c>
      <c r="H149">
        <v>6.6</v>
      </c>
      <c r="I149">
        <v>85</v>
      </c>
      <c r="J149">
        <v>0</v>
      </c>
      <c r="K149">
        <f t="shared" si="8"/>
        <v>6.1425000000000001</v>
      </c>
      <c r="L149" t="str">
        <f t="shared" si="9"/>
        <v>Apto</v>
      </c>
      <c r="M149" t="s">
        <v>37</v>
      </c>
    </row>
    <row r="150" spans="1:13" x14ac:dyDescent="0.2">
      <c r="A150" t="s">
        <v>92</v>
      </c>
      <c r="B150" t="s">
        <v>93</v>
      </c>
      <c r="C150" t="s">
        <v>24</v>
      </c>
      <c r="D150" t="s">
        <v>16</v>
      </c>
      <c r="E150">
        <v>7</v>
      </c>
      <c r="F150">
        <v>6.3</v>
      </c>
      <c r="G150">
        <v>6.2</v>
      </c>
      <c r="H150">
        <v>7.2</v>
      </c>
      <c r="I150">
        <v>89</v>
      </c>
      <c r="J150">
        <v>1</v>
      </c>
      <c r="K150">
        <f t="shared" si="8"/>
        <v>6.3545000000000007</v>
      </c>
      <c r="L150" t="str">
        <f t="shared" si="9"/>
        <v>Apto</v>
      </c>
      <c r="M150" t="s">
        <v>40</v>
      </c>
    </row>
    <row r="151" spans="1:13" x14ac:dyDescent="0.2">
      <c r="A151" t="s">
        <v>92</v>
      </c>
      <c r="B151" t="s">
        <v>93</v>
      </c>
      <c r="C151" t="s">
        <v>27</v>
      </c>
      <c r="D151" t="s">
        <v>19</v>
      </c>
      <c r="E151">
        <v>7.5</v>
      </c>
      <c r="F151">
        <v>6.8</v>
      </c>
      <c r="G151">
        <v>6.8</v>
      </c>
      <c r="H151">
        <v>7.7</v>
      </c>
      <c r="I151">
        <v>93</v>
      </c>
      <c r="J151">
        <v>2</v>
      </c>
      <c r="K151">
        <f t="shared" si="8"/>
        <v>6.7515000000000009</v>
      </c>
      <c r="L151" t="str">
        <f t="shared" si="9"/>
        <v>Apto</v>
      </c>
      <c r="M151" t="s">
        <v>43</v>
      </c>
    </row>
    <row r="152" spans="1:13" x14ac:dyDescent="0.2">
      <c r="A152" t="s">
        <v>94</v>
      </c>
      <c r="B152" t="s">
        <v>95</v>
      </c>
      <c r="C152" t="s">
        <v>15</v>
      </c>
      <c r="D152" t="s">
        <v>22</v>
      </c>
      <c r="E152">
        <v>6.2</v>
      </c>
      <c r="F152">
        <v>6</v>
      </c>
      <c r="G152">
        <v>6.3</v>
      </c>
      <c r="H152">
        <v>7</v>
      </c>
      <c r="I152">
        <v>82</v>
      </c>
      <c r="J152">
        <v>3</v>
      </c>
      <c r="K152">
        <f t="shared" si="8"/>
        <v>5.851</v>
      </c>
      <c r="L152" t="str">
        <f t="shared" si="9"/>
        <v>Apto</v>
      </c>
      <c r="M152" t="s">
        <v>34</v>
      </c>
    </row>
    <row r="153" spans="1:13" x14ac:dyDescent="0.2">
      <c r="A153" t="s">
        <v>94</v>
      </c>
      <c r="B153" t="s">
        <v>95</v>
      </c>
      <c r="C153" t="s">
        <v>18</v>
      </c>
      <c r="D153" t="s">
        <v>25</v>
      </c>
      <c r="E153">
        <v>6.8</v>
      </c>
      <c r="F153">
        <v>6.4</v>
      </c>
      <c r="G153">
        <v>6.9</v>
      </c>
      <c r="H153">
        <v>7.5</v>
      </c>
      <c r="I153">
        <v>86</v>
      </c>
      <c r="J153">
        <v>0</v>
      </c>
      <c r="K153">
        <f t="shared" si="8"/>
        <v>6.6530000000000005</v>
      </c>
      <c r="L153" t="str">
        <f t="shared" si="9"/>
        <v>Apto</v>
      </c>
      <c r="M153" t="s">
        <v>37</v>
      </c>
    </row>
    <row r="154" spans="1:13" x14ac:dyDescent="0.2">
      <c r="A154" t="s">
        <v>94</v>
      </c>
      <c r="B154" t="s">
        <v>95</v>
      </c>
      <c r="C154" t="s">
        <v>21</v>
      </c>
      <c r="D154" t="s">
        <v>16</v>
      </c>
      <c r="E154">
        <v>7.3</v>
      </c>
      <c r="F154">
        <v>6.9</v>
      </c>
      <c r="G154">
        <v>6.4</v>
      </c>
      <c r="H154">
        <v>6.9</v>
      </c>
      <c r="I154">
        <v>90</v>
      </c>
      <c r="J154">
        <v>1</v>
      </c>
      <c r="K154">
        <f t="shared" si="8"/>
        <v>6.5</v>
      </c>
      <c r="L154" t="str">
        <f t="shared" si="9"/>
        <v>Apto</v>
      </c>
      <c r="M154" t="s">
        <v>40</v>
      </c>
    </row>
    <row r="155" spans="1:13" x14ac:dyDescent="0.2">
      <c r="A155" t="s">
        <v>94</v>
      </c>
      <c r="B155" t="s">
        <v>95</v>
      </c>
      <c r="C155" t="s">
        <v>24</v>
      </c>
      <c r="D155" t="s">
        <v>19</v>
      </c>
      <c r="E155">
        <v>7.9</v>
      </c>
      <c r="F155">
        <v>7.4</v>
      </c>
      <c r="G155">
        <v>7</v>
      </c>
      <c r="H155">
        <v>7.4</v>
      </c>
      <c r="I155">
        <v>94</v>
      </c>
      <c r="J155">
        <v>2</v>
      </c>
      <c r="K155">
        <f t="shared" si="8"/>
        <v>6.9220000000000006</v>
      </c>
      <c r="L155" t="str">
        <f t="shared" si="9"/>
        <v>Apto</v>
      </c>
      <c r="M155" t="s">
        <v>43</v>
      </c>
    </row>
    <row r="156" spans="1:13" x14ac:dyDescent="0.2">
      <c r="A156" t="s">
        <v>94</v>
      </c>
      <c r="B156" t="s">
        <v>95</v>
      </c>
      <c r="C156" t="s">
        <v>27</v>
      </c>
      <c r="D156" t="s">
        <v>22</v>
      </c>
      <c r="E156">
        <v>7.2</v>
      </c>
      <c r="F156">
        <v>6.8</v>
      </c>
      <c r="G156">
        <v>7.6</v>
      </c>
      <c r="H156">
        <v>7.9</v>
      </c>
      <c r="I156">
        <v>98</v>
      </c>
      <c r="J156">
        <v>3</v>
      </c>
      <c r="K156">
        <f t="shared" si="8"/>
        <v>6.7990000000000004</v>
      </c>
      <c r="L156" t="str">
        <f t="shared" si="9"/>
        <v>Apto</v>
      </c>
      <c r="M156" t="s">
        <v>46</v>
      </c>
    </row>
    <row r="157" spans="1:13" x14ac:dyDescent="0.2">
      <c r="A157" t="s">
        <v>96</v>
      </c>
      <c r="B157" t="s">
        <v>97</v>
      </c>
      <c r="C157" t="s">
        <v>15</v>
      </c>
      <c r="D157" t="s">
        <v>25</v>
      </c>
      <c r="E157">
        <v>7.2</v>
      </c>
      <c r="F157">
        <v>7</v>
      </c>
      <c r="G157">
        <v>7.1</v>
      </c>
      <c r="H157">
        <v>7.2</v>
      </c>
      <c r="I157">
        <v>87</v>
      </c>
      <c r="J157">
        <v>0</v>
      </c>
      <c r="K157">
        <f t="shared" si="8"/>
        <v>6.8235000000000001</v>
      </c>
      <c r="L157" t="str">
        <f t="shared" si="9"/>
        <v>Apto</v>
      </c>
      <c r="M157" t="s">
        <v>37</v>
      </c>
    </row>
    <row r="158" spans="1:13" x14ac:dyDescent="0.2">
      <c r="A158" t="s">
        <v>96</v>
      </c>
      <c r="B158" t="s">
        <v>97</v>
      </c>
      <c r="C158" t="s">
        <v>18</v>
      </c>
      <c r="D158" t="s">
        <v>16</v>
      </c>
      <c r="E158">
        <v>7.8</v>
      </c>
      <c r="F158">
        <v>7.5</v>
      </c>
      <c r="G158">
        <v>7.8</v>
      </c>
      <c r="H158">
        <v>7.7</v>
      </c>
      <c r="I158">
        <v>91</v>
      </c>
      <c r="J158">
        <v>1</v>
      </c>
      <c r="K158">
        <f t="shared" si="8"/>
        <v>7.2655000000000003</v>
      </c>
      <c r="L158" t="str">
        <f t="shared" si="9"/>
        <v>Apto</v>
      </c>
      <c r="M158" t="s">
        <v>40</v>
      </c>
    </row>
    <row r="159" spans="1:13" x14ac:dyDescent="0.2">
      <c r="A159" t="s">
        <v>96</v>
      </c>
      <c r="B159" t="s">
        <v>97</v>
      </c>
      <c r="C159" t="s">
        <v>21</v>
      </c>
      <c r="D159" t="s">
        <v>19</v>
      </c>
      <c r="E159">
        <v>8.3000000000000007</v>
      </c>
      <c r="F159">
        <v>6.9</v>
      </c>
      <c r="G159">
        <v>7.3</v>
      </c>
      <c r="H159">
        <v>8.3000000000000007</v>
      </c>
      <c r="I159">
        <v>95</v>
      </c>
      <c r="J159">
        <v>2</v>
      </c>
      <c r="K159">
        <f t="shared" si="8"/>
        <v>7.2525000000000004</v>
      </c>
      <c r="L159" t="str">
        <f t="shared" si="9"/>
        <v>Apto</v>
      </c>
      <c r="M159" t="s">
        <v>43</v>
      </c>
    </row>
    <row r="160" spans="1:13" x14ac:dyDescent="0.2">
      <c r="A160" t="s">
        <v>96</v>
      </c>
      <c r="B160" t="s">
        <v>97</v>
      </c>
      <c r="C160" t="s">
        <v>24</v>
      </c>
      <c r="D160" t="s">
        <v>22</v>
      </c>
      <c r="E160">
        <v>7.6</v>
      </c>
      <c r="F160">
        <v>7.4</v>
      </c>
      <c r="G160">
        <v>7.9</v>
      </c>
      <c r="H160">
        <v>8.8000000000000007</v>
      </c>
      <c r="I160">
        <v>99</v>
      </c>
      <c r="J160">
        <v>3</v>
      </c>
      <c r="K160">
        <f t="shared" si="8"/>
        <v>7.3494999999999999</v>
      </c>
      <c r="L160" t="str">
        <f t="shared" si="9"/>
        <v>Apto</v>
      </c>
      <c r="M160" t="s">
        <v>46</v>
      </c>
    </row>
    <row r="161" spans="1:13" x14ac:dyDescent="0.2">
      <c r="A161" t="s">
        <v>96</v>
      </c>
      <c r="B161" t="s">
        <v>97</v>
      </c>
      <c r="C161" t="s">
        <v>27</v>
      </c>
      <c r="D161" t="s">
        <v>25</v>
      </c>
      <c r="E161">
        <v>8.1999999999999993</v>
      </c>
      <c r="F161">
        <v>7.9</v>
      </c>
      <c r="G161">
        <v>8.5</v>
      </c>
      <c r="H161">
        <v>8.1999999999999993</v>
      </c>
      <c r="I161">
        <v>74</v>
      </c>
      <c r="J161">
        <v>0</v>
      </c>
      <c r="K161">
        <f t="shared" si="8"/>
        <v>7.8269999999999991</v>
      </c>
      <c r="L161" t="str">
        <f t="shared" si="9"/>
        <v>Apto</v>
      </c>
      <c r="M161" t="s">
        <v>49</v>
      </c>
    </row>
    <row r="162" spans="1:13" x14ac:dyDescent="0.2">
      <c r="A162" t="s">
        <v>98</v>
      </c>
      <c r="B162" t="s">
        <v>99</v>
      </c>
      <c r="C162" t="s">
        <v>15</v>
      </c>
      <c r="D162" t="s">
        <v>16</v>
      </c>
      <c r="E162">
        <v>8.1999999999999993</v>
      </c>
      <c r="F162">
        <v>7</v>
      </c>
      <c r="G162">
        <v>8</v>
      </c>
      <c r="H162">
        <v>8.6</v>
      </c>
      <c r="I162">
        <v>92</v>
      </c>
      <c r="J162">
        <v>1</v>
      </c>
      <c r="K162">
        <f t="shared" ref="K162:K193" si="10">E162*0.25+F162*0.2+G162*0.2+H162*0.3+I162/100*0.05-J162*0.1</f>
        <v>7.5760000000000014</v>
      </c>
      <c r="L162" t="str">
        <f t="shared" ref="L162:L193" si="11">IF(K162&gt;=5,"Apto","No apto")</f>
        <v>Apto</v>
      </c>
      <c r="M162" t="s">
        <v>40</v>
      </c>
    </row>
    <row r="163" spans="1:13" x14ac:dyDescent="0.2">
      <c r="A163" t="s">
        <v>98</v>
      </c>
      <c r="B163" t="s">
        <v>99</v>
      </c>
      <c r="C163" t="s">
        <v>18</v>
      </c>
      <c r="D163" t="s">
        <v>19</v>
      </c>
      <c r="E163">
        <v>8.6999999999999993</v>
      </c>
      <c r="F163">
        <v>7.5</v>
      </c>
      <c r="G163">
        <v>7.5</v>
      </c>
      <c r="H163">
        <v>8</v>
      </c>
      <c r="I163">
        <v>96</v>
      </c>
      <c r="J163">
        <v>2</v>
      </c>
      <c r="K163">
        <f t="shared" si="10"/>
        <v>7.4229999999999992</v>
      </c>
      <c r="L163" t="str">
        <f t="shared" si="11"/>
        <v>Apto</v>
      </c>
      <c r="M163" t="s">
        <v>43</v>
      </c>
    </row>
    <row r="164" spans="1:13" x14ac:dyDescent="0.2">
      <c r="A164" t="s">
        <v>98</v>
      </c>
      <c r="B164" t="s">
        <v>99</v>
      </c>
      <c r="C164" t="s">
        <v>21</v>
      </c>
      <c r="D164" t="s">
        <v>22</v>
      </c>
      <c r="E164">
        <v>8</v>
      </c>
      <c r="F164">
        <v>8</v>
      </c>
      <c r="G164">
        <v>8.1</v>
      </c>
      <c r="H164">
        <v>8.5</v>
      </c>
      <c r="I164">
        <v>100</v>
      </c>
      <c r="J164">
        <v>3</v>
      </c>
      <c r="K164">
        <f t="shared" si="10"/>
        <v>7.5200000000000005</v>
      </c>
      <c r="L164" t="str">
        <f t="shared" si="11"/>
        <v>Apto</v>
      </c>
      <c r="M164" t="s">
        <v>46</v>
      </c>
    </row>
    <row r="165" spans="1:13" x14ac:dyDescent="0.2">
      <c r="A165" t="s">
        <v>98</v>
      </c>
      <c r="B165" t="s">
        <v>99</v>
      </c>
      <c r="C165" t="s">
        <v>24</v>
      </c>
      <c r="D165" t="s">
        <v>25</v>
      </c>
      <c r="E165">
        <v>8.6</v>
      </c>
      <c r="F165">
        <v>8.4</v>
      </c>
      <c r="G165">
        <v>8.6999999999999993</v>
      </c>
      <c r="H165">
        <v>9</v>
      </c>
      <c r="I165">
        <v>75</v>
      </c>
      <c r="J165">
        <v>0</v>
      </c>
      <c r="K165">
        <f t="shared" si="10"/>
        <v>8.3074999999999992</v>
      </c>
      <c r="L165" t="str">
        <f t="shared" si="11"/>
        <v>Apto</v>
      </c>
      <c r="M165" t="s">
        <v>49</v>
      </c>
    </row>
    <row r="166" spans="1:13" x14ac:dyDescent="0.2">
      <c r="A166" t="s">
        <v>98</v>
      </c>
      <c r="B166" t="s">
        <v>99</v>
      </c>
      <c r="C166" t="s">
        <v>27</v>
      </c>
      <c r="D166" t="s">
        <v>16</v>
      </c>
      <c r="E166">
        <v>9.1</v>
      </c>
      <c r="F166">
        <v>8.9</v>
      </c>
      <c r="G166">
        <v>9.4</v>
      </c>
      <c r="H166">
        <v>9.6</v>
      </c>
      <c r="I166">
        <v>79</v>
      </c>
      <c r="J166">
        <v>1</v>
      </c>
      <c r="K166">
        <f t="shared" si="10"/>
        <v>8.7545000000000002</v>
      </c>
      <c r="L166" t="str">
        <f t="shared" si="11"/>
        <v>Apto</v>
      </c>
      <c r="M166" t="s">
        <v>17</v>
      </c>
    </row>
    <row r="167" spans="1:13" x14ac:dyDescent="0.2">
      <c r="A167" t="s">
        <v>100</v>
      </c>
      <c r="B167" t="s">
        <v>101</v>
      </c>
      <c r="C167" t="s">
        <v>15</v>
      </c>
      <c r="D167" t="s">
        <v>19</v>
      </c>
      <c r="E167">
        <v>9.1</v>
      </c>
      <c r="F167">
        <v>8.1</v>
      </c>
      <c r="G167">
        <v>8.9</v>
      </c>
      <c r="H167">
        <v>8.8000000000000007</v>
      </c>
      <c r="I167">
        <v>97</v>
      </c>
      <c r="J167">
        <v>2</v>
      </c>
      <c r="K167">
        <f t="shared" si="10"/>
        <v>8.1635000000000026</v>
      </c>
      <c r="L167" t="str">
        <f t="shared" si="11"/>
        <v>Apto</v>
      </c>
      <c r="M167" t="s">
        <v>43</v>
      </c>
    </row>
    <row r="168" spans="1:13" x14ac:dyDescent="0.2">
      <c r="A168" t="s">
        <v>100</v>
      </c>
      <c r="B168" t="s">
        <v>101</v>
      </c>
      <c r="C168" t="s">
        <v>18</v>
      </c>
      <c r="D168" t="s">
        <v>22</v>
      </c>
      <c r="E168">
        <v>8.4</v>
      </c>
      <c r="F168">
        <v>8.5</v>
      </c>
      <c r="G168">
        <v>8.4</v>
      </c>
      <c r="H168">
        <v>9.4</v>
      </c>
      <c r="I168">
        <v>72</v>
      </c>
      <c r="J168">
        <v>3</v>
      </c>
      <c r="K168">
        <f t="shared" si="10"/>
        <v>8.0359999999999996</v>
      </c>
      <c r="L168" t="str">
        <f t="shared" si="11"/>
        <v>Apto</v>
      </c>
      <c r="M168" t="s">
        <v>46</v>
      </c>
    </row>
    <row r="169" spans="1:13" x14ac:dyDescent="0.2">
      <c r="A169" t="s">
        <v>100</v>
      </c>
      <c r="B169" t="s">
        <v>101</v>
      </c>
      <c r="C169" t="s">
        <v>21</v>
      </c>
      <c r="D169" t="s">
        <v>25</v>
      </c>
      <c r="E169">
        <v>8.9</v>
      </c>
      <c r="F169">
        <v>9</v>
      </c>
      <c r="G169">
        <v>9</v>
      </c>
      <c r="H169">
        <v>9.9</v>
      </c>
      <c r="I169">
        <v>76</v>
      </c>
      <c r="J169">
        <v>0</v>
      </c>
      <c r="K169">
        <f t="shared" si="10"/>
        <v>8.8330000000000002</v>
      </c>
      <c r="L169" t="str">
        <f t="shared" si="11"/>
        <v>Apto</v>
      </c>
      <c r="M169" t="s">
        <v>49</v>
      </c>
    </row>
    <row r="170" spans="1:13" x14ac:dyDescent="0.2">
      <c r="A170" t="s">
        <v>100</v>
      </c>
      <c r="B170" t="s">
        <v>101</v>
      </c>
      <c r="C170" t="s">
        <v>24</v>
      </c>
      <c r="D170" t="s">
        <v>16</v>
      </c>
      <c r="E170">
        <v>9.5</v>
      </c>
      <c r="F170">
        <v>9.5</v>
      </c>
      <c r="G170">
        <v>9.6</v>
      </c>
      <c r="H170">
        <v>9.3000000000000007</v>
      </c>
      <c r="I170">
        <v>80</v>
      </c>
      <c r="J170">
        <v>1</v>
      </c>
      <c r="K170">
        <f t="shared" si="10"/>
        <v>8.9249999999999989</v>
      </c>
      <c r="L170" t="str">
        <f t="shared" si="11"/>
        <v>Apto</v>
      </c>
      <c r="M170" t="s">
        <v>17</v>
      </c>
    </row>
    <row r="171" spans="1:13" x14ac:dyDescent="0.2">
      <c r="A171" t="s">
        <v>100</v>
      </c>
      <c r="B171" t="s">
        <v>101</v>
      </c>
      <c r="C171" t="s">
        <v>27</v>
      </c>
      <c r="D171" t="s">
        <v>19</v>
      </c>
      <c r="E171">
        <v>10</v>
      </c>
      <c r="F171">
        <v>8.9</v>
      </c>
      <c r="G171">
        <v>9.1</v>
      </c>
      <c r="H171">
        <v>9.8000000000000007</v>
      </c>
      <c r="I171">
        <v>84</v>
      </c>
      <c r="J171">
        <v>2</v>
      </c>
      <c r="K171">
        <f t="shared" si="10"/>
        <v>8.8820000000000014</v>
      </c>
      <c r="L171" t="str">
        <f t="shared" si="11"/>
        <v>Apto</v>
      </c>
      <c r="M171" t="s">
        <v>20</v>
      </c>
    </row>
    <row r="172" spans="1:13" x14ac:dyDescent="0.2">
      <c r="A172" t="s">
        <v>102</v>
      </c>
      <c r="B172" t="s">
        <v>103</v>
      </c>
      <c r="C172" t="s">
        <v>15</v>
      </c>
      <c r="D172" t="s">
        <v>22</v>
      </c>
      <c r="E172">
        <v>8.8000000000000007</v>
      </c>
      <c r="F172">
        <v>9.1</v>
      </c>
      <c r="G172">
        <v>8.6</v>
      </c>
      <c r="H172">
        <v>9.1</v>
      </c>
      <c r="I172">
        <v>73</v>
      </c>
      <c r="J172">
        <v>3</v>
      </c>
      <c r="K172">
        <f t="shared" si="10"/>
        <v>8.2065000000000001</v>
      </c>
      <c r="L172" t="str">
        <f t="shared" si="11"/>
        <v>Apto</v>
      </c>
      <c r="M172" t="s">
        <v>46</v>
      </c>
    </row>
    <row r="173" spans="1:13" x14ac:dyDescent="0.2">
      <c r="A173" t="s">
        <v>102</v>
      </c>
      <c r="B173" t="s">
        <v>103</v>
      </c>
      <c r="C173" t="s">
        <v>18</v>
      </c>
      <c r="D173" t="s">
        <v>25</v>
      </c>
      <c r="E173">
        <v>9.4</v>
      </c>
      <c r="F173">
        <v>9.6</v>
      </c>
      <c r="G173">
        <v>9.1999999999999993</v>
      </c>
      <c r="H173">
        <v>9.6</v>
      </c>
      <c r="I173">
        <v>77</v>
      </c>
      <c r="J173">
        <v>0</v>
      </c>
      <c r="K173">
        <f t="shared" si="10"/>
        <v>9.0284999999999993</v>
      </c>
      <c r="L173" t="str">
        <f t="shared" si="11"/>
        <v>Apto</v>
      </c>
      <c r="M173" t="s">
        <v>49</v>
      </c>
    </row>
    <row r="174" spans="1:13" x14ac:dyDescent="0.2">
      <c r="A174" t="s">
        <v>102</v>
      </c>
      <c r="B174" t="s">
        <v>103</v>
      </c>
      <c r="C174" t="s">
        <v>21</v>
      </c>
      <c r="D174" t="s">
        <v>16</v>
      </c>
      <c r="E174">
        <v>9.9</v>
      </c>
      <c r="F174">
        <v>9</v>
      </c>
      <c r="G174">
        <v>9.8000000000000007</v>
      </c>
      <c r="H174">
        <v>10</v>
      </c>
      <c r="I174">
        <v>81</v>
      </c>
      <c r="J174">
        <v>1</v>
      </c>
      <c r="K174">
        <f t="shared" si="10"/>
        <v>9.1754999999999995</v>
      </c>
      <c r="L174" t="str">
        <f t="shared" si="11"/>
        <v>Apto</v>
      </c>
      <c r="M174" t="s">
        <v>17</v>
      </c>
    </row>
    <row r="175" spans="1:13" x14ac:dyDescent="0.2">
      <c r="A175" t="s">
        <v>102</v>
      </c>
      <c r="B175" t="s">
        <v>103</v>
      </c>
      <c r="C175" t="s">
        <v>24</v>
      </c>
      <c r="D175" t="s">
        <v>19</v>
      </c>
      <c r="E175">
        <v>10</v>
      </c>
      <c r="F175">
        <v>9.5</v>
      </c>
      <c r="G175">
        <v>10</v>
      </c>
      <c r="H175">
        <v>10</v>
      </c>
      <c r="I175">
        <v>85</v>
      </c>
      <c r="J175">
        <v>2</v>
      </c>
      <c r="K175">
        <f t="shared" si="10"/>
        <v>9.2425000000000015</v>
      </c>
      <c r="L175" t="str">
        <f t="shared" si="11"/>
        <v>Apto</v>
      </c>
      <c r="M175" t="s">
        <v>20</v>
      </c>
    </row>
    <row r="176" spans="1:13" x14ac:dyDescent="0.2">
      <c r="A176" t="s">
        <v>102</v>
      </c>
      <c r="B176" t="s">
        <v>103</v>
      </c>
      <c r="C176" t="s">
        <v>27</v>
      </c>
      <c r="D176" t="s">
        <v>22</v>
      </c>
      <c r="E176">
        <v>5.9</v>
      </c>
      <c r="F176">
        <v>4.9000000000000004</v>
      </c>
      <c r="G176">
        <v>4.9000000000000004</v>
      </c>
      <c r="H176">
        <v>6.1</v>
      </c>
      <c r="I176">
        <v>89</v>
      </c>
      <c r="J176">
        <v>3</v>
      </c>
      <c r="K176">
        <f t="shared" si="10"/>
        <v>5.0095000000000001</v>
      </c>
      <c r="L176" t="str">
        <f t="shared" si="11"/>
        <v>Apto</v>
      </c>
      <c r="M176" t="s">
        <v>23</v>
      </c>
    </row>
    <row r="177" spans="1:13" x14ac:dyDescent="0.2">
      <c r="A177" t="s">
        <v>104</v>
      </c>
      <c r="B177" t="s">
        <v>105</v>
      </c>
      <c r="C177" t="s">
        <v>15</v>
      </c>
      <c r="D177" t="s">
        <v>25</v>
      </c>
      <c r="E177">
        <v>9.8000000000000007</v>
      </c>
      <c r="F177">
        <v>9.1</v>
      </c>
      <c r="G177">
        <v>9.5</v>
      </c>
      <c r="H177">
        <v>10</v>
      </c>
      <c r="I177">
        <v>78</v>
      </c>
      <c r="J177">
        <v>0</v>
      </c>
      <c r="K177">
        <f t="shared" si="10"/>
        <v>9.2090000000000014</v>
      </c>
      <c r="L177" t="str">
        <f t="shared" si="11"/>
        <v>Apto</v>
      </c>
      <c r="M177" t="s">
        <v>49</v>
      </c>
    </row>
    <row r="178" spans="1:13" x14ac:dyDescent="0.2">
      <c r="A178" t="s">
        <v>104</v>
      </c>
      <c r="B178" t="s">
        <v>105</v>
      </c>
      <c r="C178" t="s">
        <v>18</v>
      </c>
      <c r="D178" t="s">
        <v>16</v>
      </c>
      <c r="E178">
        <v>5.2</v>
      </c>
      <c r="F178">
        <v>4.5</v>
      </c>
      <c r="G178">
        <v>5</v>
      </c>
      <c r="H178">
        <v>5.9</v>
      </c>
      <c r="I178">
        <v>82</v>
      </c>
      <c r="J178">
        <v>1</v>
      </c>
      <c r="K178">
        <f t="shared" si="10"/>
        <v>4.9110000000000014</v>
      </c>
      <c r="L178" t="str">
        <f t="shared" si="11"/>
        <v>No apto</v>
      </c>
      <c r="M178" t="s">
        <v>17</v>
      </c>
    </row>
    <row r="179" spans="1:13" x14ac:dyDescent="0.2">
      <c r="A179" t="s">
        <v>104</v>
      </c>
      <c r="B179" t="s">
        <v>105</v>
      </c>
      <c r="C179" t="s">
        <v>21</v>
      </c>
      <c r="D179" t="s">
        <v>19</v>
      </c>
      <c r="E179">
        <v>5.8</v>
      </c>
      <c r="F179">
        <v>5</v>
      </c>
      <c r="G179">
        <v>5.6</v>
      </c>
      <c r="H179">
        <v>5.3</v>
      </c>
      <c r="I179">
        <v>86</v>
      </c>
      <c r="J179">
        <v>2</v>
      </c>
      <c r="K179">
        <f t="shared" si="10"/>
        <v>5.0030000000000001</v>
      </c>
      <c r="L179" t="str">
        <f t="shared" si="11"/>
        <v>Apto</v>
      </c>
      <c r="M179" t="s">
        <v>20</v>
      </c>
    </row>
    <row r="180" spans="1:13" x14ac:dyDescent="0.2">
      <c r="A180" t="s">
        <v>104</v>
      </c>
      <c r="B180" t="s">
        <v>105</v>
      </c>
      <c r="C180" t="s">
        <v>24</v>
      </c>
      <c r="D180" t="s">
        <v>22</v>
      </c>
      <c r="E180">
        <v>6.3</v>
      </c>
      <c r="F180">
        <v>5.4</v>
      </c>
      <c r="G180">
        <v>5.0999999999999996</v>
      </c>
      <c r="H180">
        <v>5.8</v>
      </c>
      <c r="I180">
        <v>90</v>
      </c>
      <c r="J180">
        <v>3</v>
      </c>
      <c r="K180">
        <f t="shared" si="10"/>
        <v>5.16</v>
      </c>
      <c r="L180" t="str">
        <f t="shared" si="11"/>
        <v>Apto</v>
      </c>
      <c r="M180" t="s">
        <v>23</v>
      </c>
    </row>
    <row r="181" spans="1:13" x14ac:dyDescent="0.2">
      <c r="A181" t="s">
        <v>104</v>
      </c>
      <c r="B181" t="s">
        <v>105</v>
      </c>
      <c r="C181" t="s">
        <v>27</v>
      </c>
      <c r="D181" t="s">
        <v>25</v>
      </c>
      <c r="E181">
        <v>5.6</v>
      </c>
      <c r="F181">
        <v>5.9</v>
      </c>
      <c r="G181">
        <v>5.7</v>
      </c>
      <c r="H181">
        <v>6.3</v>
      </c>
      <c r="I181">
        <v>94</v>
      </c>
      <c r="J181">
        <v>0</v>
      </c>
      <c r="K181">
        <f t="shared" si="10"/>
        <v>5.657</v>
      </c>
      <c r="L181" t="str">
        <f t="shared" si="11"/>
        <v>Apto</v>
      </c>
      <c r="M181" t="s">
        <v>26</v>
      </c>
    </row>
    <row r="182" spans="1:13" x14ac:dyDescent="0.2">
      <c r="A182" t="s">
        <v>106</v>
      </c>
      <c r="B182" t="s">
        <v>107</v>
      </c>
      <c r="C182" t="s">
        <v>15</v>
      </c>
      <c r="D182" t="s">
        <v>16</v>
      </c>
      <c r="E182">
        <v>5.6</v>
      </c>
      <c r="F182">
        <v>5.0999999999999996</v>
      </c>
      <c r="G182">
        <v>5.2</v>
      </c>
      <c r="H182">
        <v>5.6</v>
      </c>
      <c r="I182">
        <v>83</v>
      </c>
      <c r="J182">
        <v>1</v>
      </c>
      <c r="K182">
        <f t="shared" si="10"/>
        <v>5.0815000000000001</v>
      </c>
      <c r="L182" t="str">
        <f t="shared" si="11"/>
        <v>Apto</v>
      </c>
      <c r="M182" t="s">
        <v>17</v>
      </c>
    </row>
    <row r="183" spans="1:13" x14ac:dyDescent="0.2">
      <c r="A183" t="s">
        <v>106</v>
      </c>
      <c r="B183" t="s">
        <v>107</v>
      </c>
      <c r="C183" t="s">
        <v>18</v>
      </c>
      <c r="D183" t="s">
        <v>19</v>
      </c>
      <c r="E183">
        <v>6.2</v>
      </c>
      <c r="F183">
        <v>5.5</v>
      </c>
      <c r="G183">
        <v>5.8</v>
      </c>
      <c r="H183">
        <v>6.1</v>
      </c>
      <c r="I183">
        <v>87</v>
      </c>
      <c r="J183">
        <v>2</v>
      </c>
      <c r="K183">
        <f t="shared" si="10"/>
        <v>5.4835000000000003</v>
      </c>
      <c r="L183" t="str">
        <f t="shared" si="11"/>
        <v>Apto</v>
      </c>
      <c r="M183" t="s">
        <v>20</v>
      </c>
    </row>
    <row r="184" spans="1:13" x14ac:dyDescent="0.2">
      <c r="A184" t="s">
        <v>106</v>
      </c>
      <c r="B184" t="s">
        <v>107</v>
      </c>
      <c r="C184" t="s">
        <v>21</v>
      </c>
      <c r="D184" t="s">
        <v>22</v>
      </c>
      <c r="E184">
        <v>6.7</v>
      </c>
      <c r="F184">
        <v>6</v>
      </c>
      <c r="G184">
        <v>6.5</v>
      </c>
      <c r="H184">
        <v>6.7</v>
      </c>
      <c r="I184">
        <v>91</v>
      </c>
      <c r="J184">
        <v>3</v>
      </c>
      <c r="K184">
        <f t="shared" si="10"/>
        <v>5.9304999999999994</v>
      </c>
      <c r="L184" t="str">
        <f t="shared" si="11"/>
        <v>Apto</v>
      </c>
      <c r="M184" t="s">
        <v>23</v>
      </c>
    </row>
    <row r="185" spans="1:13" x14ac:dyDescent="0.2">
      <c r="A185" t="s">
        <v>106</v>
      </c>
      <c r="B185" t="s">
        <v>107</v>
      </c>
      <c r="C185" t="s">
        <v>24</v>
      </c>
      <c r="D185" t="s">
        <v>25</v>
      </c>
      <c r="E185">
        <v>6</v>
      </c>
      <c r="F185">
        <v>6.5</v>
      </c>
      <c r="G185">
        <v>6</v>
      </c>
      <c r="H185">
        <v>7.2</v>
      </c>
      <c r="I185">
        <v>95</v>
      </c>
      <c r="J185">
        <v>0</v>
      </c>
      <c r="K185">
        <f t="shared" si="10"/>
        <v>6.2075000000000005</v>
      </c>
      <c r="L185" t="str">
        <f t="shared" si="11"/>
        <v>Apto</v>
      </c>
      <c r="M185" t="s">
        <v>26</v>
      </c>
    </row>
    <row r="186" spans="1:13" x14ac:dyDescent="0.2">
      <c r="A186" t="s">
        <v>106</v>
      </c>
      <c r="B186" t="s">
        <v>107</v>
      </c>
      <c r="C186" t="s">
        <v>27</v>
      </c>
      <c r="D186" t="s">
        <v>16</v>
      </c>
      <c r="E186">
        <v>6.6</v>
      </c>
      <c r="F186">
        <v>5.9</v>
      </c>
      <c r="G186">
        <v>6.6</v>
      </c>
      <c r="H186">
        <v>6.6</v>
      </c>
      <c r="I186">
        <v>99</v>
      </c>
      <c r="J186">
        <v>1</v>
      </c>
      <c r="K186">
        <f t="shared" si="10"/>
        <v>6.0795000000000003</v>
      </c>
      <c r="L186" t="str">
        <f t="shared" si="11"/>
        <v>Apto</v>
      </c>
      <c r="M186" t="s">
        <v>28</v>
      </c>
    </row>
    <row r="187" spans="1:13" x14ac:dyDescent="0.2">
      <c r="A187" t="s">
        <v>108</v>
      </c>
      <c r="B187" t="s">
        <v>109</v>
      </c>
      <c r="C187" t="s">
        <v>15</v>
      </c>
      <c r="D187" t="s">
        <v>19</v>
      </c>
      <c r="E187">
        <v>6.6</v>
      </c>
      <c r="F187">
        <v>6.1</v>
      </c>
      <c r="G187">
        <v>6.1</v>
      </c>
      <c r="H187">
        <v>7</v>
      </c>
      <c r="I187">
        <v>88</v>
      </c>
      <c r="J187">
        <v>2</v>
      </c>
      <c r="K187">
        <f t="shared" si="10"/>
        <v>6.0339999999999989</v>
      </c>
      <c r="L187" t="str">
        <f t="shared" si="11"/>
        <v>Apto</v>
      </c>
      <c r="M187" t="s">
        <v>20</v>
      </c>
    </row>
    <row r="188" spans="1:13" x14ac:dyDescent="0.2">
      <c r="A188" t="s">
        <v>108</v>
      </c>
      <c r="B188" t="s">
        <v>109</v>
      </c>
      <c r="C188" t="s">
        <v>18</v>
      </c>
      <c r="D188" t="s">
        <v>22</v>
      </c>
      <c r="E188">
        <v>7.1</v>
      </c>
      <c r="F188">
        <v>6.6</v>
      </c>
      <c r="G188">
        <v>6.7</v>
      </c>
      <c r="H188">
        <v>6.4</v>
      </c>
      <c r="I188">
        <v>92</v>
      </c>
      <c r="J188">
        <v>3</v>
      </c>
      <c r="K188">
        <f t="shared" si="10"/>
        <v>6.101</v>
      </c>
      <c r="L188" t="str">
        <f t="shared" si="11"/>
        <v>Apto</v>
      </c>
      <c r="M188" t="s">
        <v>23</v>
      </c>
    </row>
    <row r="189" spans="1:13" x14ac:dyDescent="0.2">
      <c r="A189" t="s">
        <v>108</v>
      </c>
      <c r="B189" t="s">
        <v>109</v>
      </c>
      <c r="C189" t="s">
        <v>21</v>
      </c>
      <c r="D189" t="s">
        <v>25</v>
      </c>
      <c r="E189">
        <v>6.4</v>
      </c>
      <c r="F189">
        <v>6</v>
      </c>
      <c r="G189">
        <v>6.2</v>
      </c>
      <c r="H189">
        <v>6.9</v>
      </c>
      <c r="I189">
        <v>96</v>
      </c>
      <c r="J189">
        <v>0</v>
      </c>
      <c r="K189">
        <f t="shared" si="10"/>
        <v>6.1580000000000013</v>
      </c>
      <c r="L189" t="str">
        <f t="shared" si="11"/>
        <v>Apto</v>
      </c>
      <c r="M189" t="s">
        <v>26</v>
      </c>
    </row>
    <row r="190" spans="1:13" x14ac:dyDescent="0.2">
      <c r="A190" t="s">
        <v>108</v>
      </c>
      <c r="B190" t="s">
        <v>109</v>
      </c>
      <c r="C190" t="s">
        <v>24</v>
      </c>
      <c r="D190" t="s">
        <v>16</v>
      </c>
      <c r="E190">
        <v>7</v>
      </c>
      <c r="F190">
        <v>6.5</v>
      </c>
      <c r="G190">
        <v>6.8</v>
      </c>
      <c r="H190">
        <v>7.4</v>
      </c>
      <c r="I190">
        <v>100</v>
      </c>
      <c r="J190">
        <v>1</v>
      </c>
      <c r="K190">
        <f t="shared" si="10"/>
        <v>6.580000000000001</v>
      </c>
      <c r="L190" t="str">
        <f t="shared" si="11"/>
        <v>Apto</v>
      </c>
      <c r="M190" t="s">
        <v>28</v>
      </c>
    </row>
    <row r="191" spans="1:13" x14ac:dyDescent="0.2">
      <c r="A191" t="s">
        <v>108</v>
      </c>
      <c r="B191" t="s">
        <v>109</v>
      </c>
      <c r="C191" t="s">
        <v>27</v>
      </c>
      <c r="D191" t="s">
        <v>19</v>
      </c>
      <c r="E191">
        <v>7.5</v>
      </c>
      <c r="F191">
        <v>7</v>
      </c>
      <c r="G191">
        <v>7.4</v>
      </c>
      <c r="H191">
        <v>8</v>
      </c>
      <c r="I191">
        <v>75</v>
      </c>
      <c r="J191">
        <v>2</v>
      </c>
      <c r="K191">
        <f t="shared" si="10"/>
        <v>6.9925000000000006</v>
      </c>
      <c r="L191" t="str">
        <f t="shared" si="11"/>
        <v>Apto</v>
      </c>
      <c r="M191" t="s">
        <v>31</v>
      </c>
    </row>
    <row r="192" spans="1:13" x14ac:dyDescent="0.2">
      <c r="A192" t="s">
        <v>110</v>
      </c>
      <c r="B192" t="s">
        <v>111</v>
      </c>
      <c r="C192" t="s">
        <v>15</v>
      </c>
      <c r="D192" t="s">
        <v>22</v>
      </c>
      <c r="E192">
        <v>7.5</v>
      </c>
      <c r="F192">
        <v>6.1</v>
      </c>
      <c r="G192">
        <v>6.9</v>
      </c>
      <c r="H192">
        <v>7.2</v>
      </c>
      <c r="I192">
        <v>93</v>
      </c>
      <c r="J192">
        <v>3</v>
      </c>
      <c r="K192">
        <f t="shared" si="10"/>
        <v>6.3815</v>
      </c>
      <c r="L192" t="str">
        <f t="shared" si="11"/>
        <v>Apto</v>
      </c>
      <c r="M192" t="s">
        <v>23</v>
      </c>
    </row>
    <row r="193" spans="1:13" x14ac:dyDescent="0.2">
      <c r="A193" t="s">
        <v>110</v>
      </c>
      <c r="B193" t="s">
        <v>111</v>
      </c>
      <c r="C193" t="s">
        <v>18</v>
      </c>
      <c r="D193" t="s">
        <v>25</v>
      </c>
      <c r="E193">
        <v>6.8</v>
      </c>
      <c r="F193">
        <v>6.6</v>
      </c>
      <c r="G193">
        <v>7.6</v>
      </c>
      <c r="H193">
        <v>7.8</v>
      </c>
      <c r="I193">
        <v>97</v>
      </c>
      <c r="J193">
        <v>0</v>
      </c>
      <c r="K193">
        <f t="shared" si="10"/>
        <v>6.9284999999999997</v>
      </c>
      <c r="L193" t="str">
        <f t="shared" si="11"/>
        <v>Apto</v>
      </c>
      <c r="M193" t="s">
        <v>26</v>
      </c>
    </row>
    <row r="194" spans="1:13" x14ac:dyDescent="0.2">
      <c r="A194" t="s">
        <v>110</v>
      </c>
      <c r="B194" t="s">
        <v>111</v>
      </c>
      <c r="C194" t="s">
        <v>21</v>
      </c>
      <c r="D194" t="s">
        <v>16</v>
      </c>
      <c r="E194">
        <v>7.3</v>
      </c>
      <c r="F194">
        <v>7.1</v>
      </c>
      <c r="G194">
        <v>7.1</v>
      </c>
      <c r="H194">
        <v>8.3000000000000007</v>
      </c>
      <c r="I194">
        <v>72</v>
      </c>
      <c r="J194">
        <v>1</v>
      </c>
      <c r="K194">
        <f t="shared" ref="K194:K225" si="12">E194*0.25+F194*0.2+G194*0.2+H194*0.3+I194/100*0.05-J194*0.1</f>
        <v>7.0910000000000002</v>
      </c>
      <c r="L194" t="str">
        <f t="shared" ref="L194:L225" si="13">IF(K194&gt;=5,"Apto","No apto")</f>
        <v>Apto</v>
      </c>
      <c r="M194" t="s">
        <v>28</v>
      </c>
    </row>
    <row r="195" spans="1:13" x14ac:dyDescent="0.2">
      <c r="A195" t="s">
        <v>110</v>
      </c>
      <c r="B195" t="s">
        <v>111</v>
      </c>
      <c r="C195" t="s">
        <v>24</v>
      </c>
      <c r="D195" t="s">
        <v>19</v>
      </c>
      <c r="E195">
        <v>7.9</v>
      </c>
      <c r="F195">
        <v>7.5</v>
      </c>
      <c r="G195">
        <v>7.7</v>
      </c>
      <c r="H195">
        <v>7.7</v>
      </c>
      <c r="I195">
        <v>76</v>
      </c>
      <c r="J195">
        <v>2</v>
      </c>
      <c r="K195">
        <f t="shared" si="12"/>
        <v>7.1630000000000011</v>
      </c>
      <c r="L195" t="str">
        <f t="shared" si="13"/>
        <v>Apto</v>
      </c>
      <c r="M195" t="s">
        <v>31</v>
      </c>
    </row>
    <row r="196" spans="1:13" x14ac:dyDescent="0.2">
      <c r="A196" t="s">
        <v>110</v>
      </c>
      <c r="B196" t="s">
        <v>111</v>
      </c>
      <c r="C196" t="s">
        <v>27</v>
      </c>
      <c r="D196" t="s">
        <v>22</v>
      </c>
      <c r="E196">
        <v>8.4</v>
      </c>
      <c r="F196">
        <v>8</v>
      </c>
      <c r="G196">
        <v>8.3000000000000007</v>
      </c>
      <c r="H196">
        <v>8.1999999999999993</v>
      </c>
      <c r="I196">
        <v>80</v>
      </c>
      <c r="J196">
        <v>3</v>
      </c>
      <c r="K196">
        <f t="shared" si="12"/>
        <v>7.5600000000000005</v>
      </c>
      <c r="L196" t="str">
        <f t="shared" si="13"/>
        <v>Apto</v>
      </c>
      <c r="M196" t="s">
        <v>34</v>
      </c>
    </row>
    <row r="197" spans="1:13" x14ac:dyDescent="0.2">
      <c r="A197" t="s">
        <v>112</v>
      </c>
      <c r="B197" t="s">
        <v>113</v>
      </c>
      <c r="C197" t="s">
        <v>15</v>
      </c>
      <c r="D197" t="s">
        <v>25</v>
      </c>
      <c r="E197">
        <v>7.2</v>
      </c>
      <c r="F197">
        <v>7.2</v>
      </c>
      <c r="G197">
        <v>7.8</v>
      </c>
      <c r="H197">
        <v>7.5</v>
      </c>
      <c r="I197">
        <v>98</v>
      </c>
      <c r="J197">
        <v>0</v>
      </c>
      <c r="K197">
        <f t="shared" si="12"/>
        <v>7.0990000000000011</v>
      </c>
      <c r="L197" t="str">
        <f t="shared" si="13"/>
        <v>Apto</v>
      </c>
      <c r="M197" t="s">
        <v>26</v>
      </c>
    </row>
    <row r="198" spans="1:13" x14ac:dyDescent="0.2">
      <c r="A198" t="s">
        <v>112</v>
      </c>
      <c r="B198" t="s">
        <v>113</v>
      </c>
      <c r="C198" t="s">
        <v>18</v>
      </c>
      <c r="D198" t="s">
        <v>16</v>
      </c>
      <c r="E198">
        <v>7.8</v>
      </c>
      <c r="F198">
        <v>7.6</v>
      </c>
      <c r="G198">
        <v>7.3</v>
      </c>
      <c r="H198">
        <v>8</v>
      </c>
      <c r="I198">
        <v>73</v>
      </c>
      <c r="J198">
        <v>1</v>
      </c>
      <c r="K198">
        <f t="shared" si="12"/>
        <v>7.2665000000000006</v>
      </c>
      <c r="L198" t="str">
        <f t="shared" si="13"/>
        <v>Apto</v>
      </c>
      <c r="M198" t="s">
        <v>28</v>
      </c>
    </row>
    <row r="199" spans="1:13" x14ac:dyDescent="0.2">
      <c r="A199" t="s">
        <v>112</v>
      </c>
      <c r="B199" t="s">
        <v>113</v>
      </c>
      <c r="C199" t="s">
        <v>21</v>
      </c>
      <c r="D199" t="s">
        <v>19</v>
      </c>
      <c r="E199">
        <v>8.3000000000000007</v>
      </c>
      <c r="F199">
        <v>8.1</v>
      </c>
      <c r="G199">
        <v>7.9</v>
      </c>
      <c r="H199">
        <v>8.5</v>
      </c>
      <c r="I199">
        <v>77</v>
      </c>
      <c r="J199">
        <v>2</v>
      </c>
      <c r="K199">
        <f t="shared" si="12"/>
        <v>7.6635</v>
      </c>
      <c r="L199" t="str">
        <f t="shared" si="13"/>
        <v>Apto</v>
      </c>
      <c r="M199" t="s">
        <v>31</v>
      </c>
    </row>
    <row r="200" spans="1:13" x14ac:dyDescent="0.2">
      <c r="A200" t="s">
        <v>112</v>
      </c>
      <c r="B200" t="s">
        <v>113</v>
      </c>
      <c r="C200" t="s">
        <v>24</v>
      </c>
      <c r="D200" t="s">
        <v>22</v>
      </c>
      <c r="E200">
        <v>8.8000000000000007</v>
      </c>
      <c r="F200">
        <v>8.6</v>
      </c>
      <c r="G200">
        <v>8.5</v>
      </c>
      <c r="H200">
        <v>9.1</v>
      </c>
      <c r="I200">
        <v>81</v>
      </c>
      <c r="J200">
        <v>3</v>
      </c>
      <c r="K200">
        <f t="shared" si="12"/>
        <v>8.0904999999999987</v>
      </c>
      <c r="L200" t="str">
        <f t="shared" si="13"/>
        <v>Apto</v>
      </c>
      <c r="M200" t="s">
        <v>34</v>
      </c>
    </row>
    <row r="201" spans="1:13" x14ac:dyDescent="0.2">
      <c r="A201" t="s">
        <v>112</v>
      </c>
      <c r="B201" t="s">
        <v>113</v>
      </c>
      <c r="C201" t="s">
        <v>27</v>
      </c>
      <c r="D201" t="s">
        <v>25</v>
      </c>
      <c r="E201">
        <v>9.4</v>
      </c>
      <c r="F201">
        <v>8</v>
      </c>
      <c r="G201">
        <v>9.1999999999999993</v>
      </c>
      <c r="H201">
        <v>9.6</v>
      </c>
      <c r="I201">
        <v>85</v>
      </c>
      <c r="J201">
        <v>0</v>
      </c>
      <c r="K201">
        <f t="shared" si="12"/>
        <v>8.7125000000000004</v>
      </c>
      <c r="L201" t="str">
        <f t="shared" si="13"/>
        <v>Apto</v>
      </c>
      <c r="M201" t="s">
        <v>37</v>
      </c>
    </row>
  </sheetData>
  <autoFilter ref="A1:M2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t="s">
        <v>114</v>
      </c>
      <c r="B1" t="s">
        <v>115</v>
      </c>
    </row>
    <row r="2" spans="1:2" x14ac:dyDescent="0.2">
      <c r="A2" t="s">
        <v>116</v>
      </c>
      <c r="B2">
        <f>COUNTA(Calificaciones!A2:A201)</f>
        <v>200</v>
      </c>
    </row>
    <row r="3" spans="1:2" x14ac:dyDescent="0.2">
      <c r="A3" t="s">
        <v>117</v>
      </c>
      <c r="B3">
        <v>40</v>
      </c>
    </row>
    <row r="4" spans="1:2" x14ac:dyDescent="0.2">
      <c r="A4" t="s">
        <v>118</v>
      </c>
      <c r="B4">
        <v>5</v>
      </c>
    </row>
    <row r="5" spans="1:2" x14ac:dyDescent="0.2">
      <c r="A5" t="s">
        <v>119</v>
      </c>
      <c r="B5">
        <f>AVERAGE(Calificaciones!E2:E201)</f>
        <v>7.6690000000000005</v>
      </c>
    </row>
    <row r="6" spans="1:2" x14ac:dyDescent="0.2">
      <c r="A6" t="s">
        <v>120</v>
      </c>
      <c r="B6">
        <f>AVERAGE(Calificaciones!F2:F201)</f>
        <v>7.2140000000000022</v>
      </c>
    </row>
    <row r="7" spans="1:2" x14ac:dyDescent="0.2">
      <c r="A7" t="s">
        <v>121</v>
      </c>
      <c r="B7">
        <f>AVERAGE(Calificaciones!G2:G201)</f>
        <v>7.4629999999999992</v>
      </c>
    </row>
    <row r="8" spans="1:2" x14ac:dyDescent="0.2">
      <c r="A8" t="s">
        <v>122</v>
      </c>
      <c r="B8">
        <f>AVERAGE(Calificaciones!H2:H201)</f>
        <v>7.885499999999996</v>
      </c>
    </row>
    <row r="9" spans="1:2" x14ac:dyDescent="0.2">
      <c r="A9" t="s">
        <v>123</v>
      </c>
      <c r="B9">
        <f>AVERAGE(Calificaciones!K2:K201)</f>
        <v>7.1113375000000012</v>
      </c>
    </row>
    <row r="10" spans="1:2" x14ac:dyDescent="0.2">
      <c r="A10" t="s">
        <v>124</v>
      </c>
      <c r="B10">
        <f>COUNTIF(Calificaciones!L2:L201,"Apto")</f>
        <v>190</v>
      </c>
    </row>
    <row r="11" spans="1:2" x14ac:dyDescent="0.2">
      <c r="A11" t="s">
        <v>125</v>
      </c>
      <c r="B11">
        <f>COUNTIF(Calificaciones!L2:L201,"No apto")</f>
        <v>10</v>
      </c>
    </row>
    <row r="12" spans="1:2" x14ac:dyDescent="0.2">
      <c r="A12" t="s">
        <v>126</v>
      </c>
      <c r="B12">
        <f>AVERAGE(Calificaciones!I2:I201)</f>
        <v>86.075000000000003</v>
      </c>
    </row>
    <row r="13" spans="1:2" x14ac:dyDescent="0.2">
      <c r="A13" t="s">
        <v>127</v>
      </c>
      <c r="B13">
        <f>SUM(Calificaciones!J2:J201)</f>
        <v>300</v>
      </c>
    </row>
  </sheetData>
  <autoFilter ref="A1:B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t="s">
        <v>2</v>
      </c>
      <c r="B1" t="s">
        <v>128</v>
      </c>
      <c r="C1" t="s">
        <v>119</v>
      </c>
      <c r="D1" t="s">
        <v>120</v>
      </c>
      <c r="E1" t="s">
        <v>121</v>
      </c>
      <c r="F1" t="s">
        <v>122</v>
      </c>
      <c r="G1" t="s">
        <v>129</v>
      </c>
      <c r="H1" t="s">
        <v>124</v>
      </c>
    </row>
    <row r="2" spans="1:8" x14ac:dyDescent="0.2">
      <c r="A2" t="s">
        <v>15</v>
      </c>
      <c r="B2">
        <f>COUNTIF(Calificaciones!C2:C201,A2)</f>
        <v>40</v>
      </c>
      <c r="C2">
        <f>AVERAGEIF(Calificaciones!C2:C201,A2,Calificaciones!E2:E201)</f>
        <v>7.6675000000000022</v>
      </c>
      <c r="D2">
        <f>AVERAGEIF(Calificaciones!C2:C201,A2,Calificaciones!F2:F201)</f>
        <v>7.1600000000000037</v>
      </c>
      <c r="E2">
        <f>AVERAGEIF(Calificaciones!C2:C201,A2,Calificaciones!G2:G201)</f>
        <v>7.4775000000000018</v>
      </c>
      <c r="F2">
        <f>AVERAGEIF(Calificaciones!C2:C201,A2,Calificaciones!H2:H201)</f>
        <v>7.8950000000000014</v>
      </c>
      <c r="G2">
        <f>AVERAGEIF(Calificaciones!C2:C201,A2,Calificaciones!K2:K201)</f>
        <v>7.1059000000000001</v>
      </c>
      <c r="H2">
        <f>COUNTIFS(Calificaciones!C2:C201,A2,Calificaciones!L2:L201,"Apto")</f>
        <v>37</v>
      </c>
    </row>
    <row r="3" spans="1:8" x14ac:dyDescent="0.2">
      <c r="A3" t="s">
        <v>18</v>
      </c>
      <c r="B3">
        <f>COUNTIF(Calificaciones!C2:C201,A3)</f>
        <v>40</v>
      </c>
      <c r="C3">
        <f>AVERAGEIF(Calificaciones!C2:C201,A3,Calificaciones!E2:E201)</f>
        <v>7.6150000000000002</v>
      </c>
      <c r="D3">
        <f>AVERAGEIF(Calificaciones!C2:C201,A3,Calificaciones!F2:F201)</f>
        <v>7.2375000000000025</v>
      </c>
      <c r="E3">
        <f>AVERAGEIF(Calificaciones!C2:C201,A3,Calificaciones!G2:G201)</f>
        <v>7.4075000000000006</v>
      </c>
      <c r="F3">
        <f>AVERAGEIF(Calificaciones!C2:C201,A3,Calificaciones!H2:H201)</f>
        <v>7.8049999999999997</v>
      </c>
      <c r="G3">
        <f>AVERAGEIF(Calificaciones!C2:C201,A3,Calificaciones!K2:K201)</f>
        <v>7.067099999999999</v>
      </c>
      <c r="H3">
        <f>COUNTIFS(Calificaciones!C2:C201,A3,Calificaciones!L2:L201,"Apto")</f>
        <v>38</v>
      </c>
    </row>
    <row r="4" spans="1:8" x14ac:dyDescent="0.2">
      <c r="A4" t="s">
        <v>21</v>
      </c>
      <c r="B4">
        <f>COUNTIF(Calificaciones!C2:C201,A4)</f>
        <v>40</v>
      </c>
      <c r="C4">
        <f>AVERAGEIF(Calificaciones!C2:C201,A4,Calificaciones!E2:E201)</f>
        <v>7.6549999999999985</v>
      </c>
      <c r="D4">
        <f>AVERAGEIF(Calificaciones!C2:C201,A4,Calificaciones!F2:F201)</f>
        <v>7.1300000000000008</v>
      </c>
      <c r="E4">
        <f>AVERAGEIF(Calificaciones!C2:C201,A4,Calificaciones!G2:G201)</f>
        <v>7.4375</v>
      </c>
      <c r="F4">
        <f>AVERAGEIF(Calificaciones!C2:C201,A4,Calificaciones!H2:H201)</f>
        <v>7.8899999999999988</v>
      </c>
      <c r="G4">
        <f>AVERAGEIF(Calificaciones!C2:C201,A4,Calificaciones!K2:K201)</f>
        <v>7.0872875000000004</v>
      </c>
      <c r="H4">
        <f>COUNTIFS(Calificaciones!C2:C201,A4,Calificaciones!L2:L201,"Apto")</f>
        <v>39</v>
      </c>
    </row>
    <row r="5" spans="1:8" x14ac:dyDescent="0.2">
      <c r="A5" t="s">
        <v>24</v>
      </c>
      <c r="B5">
        <f>COUNTIF(Calificaciones!C2:C201,A5)</f>
        <v>40</v>
      </c>
      <c r="C5">
        <f>AVERAGEIF(Calificaciones!C2:C201,A5,Calificaciones!E2:E201)</f>
        <v>7.6899999999999977</v>
      </c>
      <c r="D5">
        <f>AVERAGEIF(Calificaciones!C2:C201,A5,Calificaciones!F2:F201)</f>
        <v>7.3400000000000007</v>
      </c>
      <c r="E5">
        <f>AVERAGEIF(Calificaciones!C2:C201,A5,Calificaciones!G2:G201)</f>
        <v>7.4474999999999998</v>
      </c>
      <c r="F5">
        <f>AVERAGEIF(Calificaciones!C2:C201,A5,Calificaciones!H2:H201)</f>
        <v>7.8900000000000006</v>
      </c>
      <c r="G5">
        <f>AVERAGEIF(Calificaciones!C2:C201,A5,Calificaciones!K2:K201)</f>
        <v>7.1402250000000009</v>
      </c>
      <c r="H5">
        <f>COUNTIFS(Calificaciones!C2:C201,A5,Calificaciones!L2:L201,"Apto")</f>
        <v>38</v>
      </c>
    </row>
    <row r="6" spans="1:8" x14ac:dyDescent="0.2">
      <c r="A6" t="s">
        <v>27</v>
      </c>
      <c r="B6">
        <f>COUNTIF(Calificaciones!C2:C201,A6)</f>
        <v>40</v>
      </c>
      <c r="C6">
        <f>AVERAGEIF(Calificaciones!C2:C201,A6,Calificaciones!E2:E201)</f>
        <v>7.7174999999999985</v>
      </c>
      <c r="D6">
        <f>AVERAGEIF(Calificaciones!C2:C201,A6,Calificaciones!F2:F201)</f>
        <v>7.2024999999999988</v>
      </c>
      <c r="E6">
        <f>AVERAGEIF(Calificaciones!C2:C201,A6,Calificaciones!G2:G201)</f>
        <v>7.5449999999999999</v>
      </c>
      <c r="F6">
        <f>AVERAGEIF(Calificaciones!C2:C201,A6,Calificaciones!H2:H201)</f>
        <v>7.9475000000000025</v>
      </c>
      <c r="G6">
        <f>AVERAGEIF(Calificaciones!C2:C201,A6,Calificaciones!K2:K201)</f>
        <v>7.1561750000000002</v>
      </c>
      <c r="H6">
        <f>COUNTIFS(Calificaciones!C2:C201,A6,Calificaciones!L2:L201,"Apto")</f>
        <v>38</v>
      </c>
    </row>
  </sheetData>
  <autoFilter ref="A1:H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7" x14ac:dyDescent="0.2">
      <c r="A1" t="s">
        <v>130</v>
      </c>
      <c r="B1" t="s">
        <v>1</v>
      </c>
      <c r="C1" t="s">
        <v>2</v>
      </c>
      <c r="D1" t="s">
        <v>131</v>
      </c>
      <c r="E1" t="s">
        <v>132</v>
      </c>
      <c r="F1" t="s">
        <v>133</v>
      </c>
      <c r="G1" t="s">
        <v>11</v>
      </c>
    </row>
    <row r="2" spans="1:7" x14ac:dyDescent="0.2">
      <c r="A2" t="s">
        <v>134</v>
      </c>
      <c r="B2" t="s">
        <v>36</v>
      </c>
      <c r="C2" t="s">
        <v>21</v>
      </c>
      <c r="D2" t="s">
        <v>135</v>
      </c>
      <c r="E2" t="s">
        <v>136</v>
      </c>
      <c r="F2" t="s">
        <v>137</v>
      </c>
      <c r="G2" t="s">
        <v>138</v>
      </c>
    </row>
    <row r="3" spans="1:7" x14ac:dyDescent="0.2">
      <c r="A3" t="s">
        <v>139</v>
      </c>
      <c r="B3" t="s">
        <v>45</v>
      </c>
      <c r="C3" t="s">
        <v>27</v>
      </c>
      <c r="D3" t="s">
        <v>140</v>
      </c>
      <c r="E3" t="s">
        <v>141</v>
      </c>
      <c r="F3" t="s">
        <v>137</v>
      </c>
      <c r="G3" t="s">
        <v>138</v>
      </c>
    </row>
    <row r="4" spans="1:7" x14ac:dyDescent="0.2">
      <c r="A4" t="s">
        <v>142</v>
      </c>
      <c r="B4" t="s">
        <v>53</v>
      </c>
      <c r="C4" t="s">
        <v>18</v>
      </c>
      <c r="D4" t="s">
        <v>143</v>
      </c>
      <c r="E4" t="s">
        <v>144</v>
      </c>
      <c r="F4" t="s">
        <v>137</v>
      </c>
      <c r="G4" t="s">
        <v>138</v>
      </c>
    </row>
    <row r="5" spans="1:7" x14ac:dyDescent="0.2">
      <c r="A5" t="s">
        <v>145</v>
      </c>
      <c r="B5" t="s">
        <v>59</v>
      </c>
      <c r="C5" t="s">
        <v>24</v>
      </c>
      <c r="D5" t="s">
        <v>146</v>
      </c>
      <c r="E5" t="s">
        <v>147</v>
      </c>
      <c r="F5" t="s">
        <v>137</v>
      </c>
      <c r="G5" t="s">
        <v>148</v>
      </c>
    </row>
    <row r="6" spans="1:7" x14ac:dyDescent="0.2">
      <c r="A6" t="s">
        <v>149</v>
      </c>
      <c r="B6" t="s">
        <v>65</v>
      </c>
      <c r="C6" t="s">
        <v>15</v>
      </c>
      <c r="D6" t="s">
        <v>150</v>
      </c>
      <c r="E6" t="s">
        <v>151</v>
      </c>
      <c r="F6" t="s">
        <v>137</v>
      </c>
      <c r="G6" t="s">
        <v>138</v>
      </c>
    </row>
    <row r="7" spans="1:7" x14ac:dyDescent="0.2">
      <c r="A7" t="s">
        <v>152</v>
      </c>
      <c r="B7" t="s">
        <v>71</v>
      </c>
      <c r="C7" t="s">
        <v>21</v>
      </c>
      <c r="D7" t="s">
        <v>135</v>
      </c>
      <c r="E7" t="s">
        <v>153</v>
      </c>
      <c r="F7" t="s">
        <v>137</v>
      </c>
      <c r="G7" t="s">
        <v>138</v>
      </c>
    </row>
    <row r="8" spans="1:7" x14ac:dyDescent="0.2">
      <c r="A8" t="s">
        <v>154</v>
      </c>
      <c r="B8" t="s">
        <v>77</v>
      </c>
      <c r="C8" t="s">
        <v>27</v>
      </c>
      <c r="D8" t="s">
        <v>140</v>
      </c>
      <c r="E8" t="s">
        <v>155</v>
      </c>
      <c r="F8" t="s">
        <v>137</v>
      </c>
      <c r="G8" t="s">
        <v>138</v>
      </c>
    </row>
    <row r="9" spans="1:7" x14ac:dyDescent="0.2">
      <c r="A9" t="s">
        <v>156</v>
      </c>
      <c r="B9" t="s">
        <v>83</v>
      </c>
      <c r="C9" t="s">
        <v>18</v>
      </c>
      <c r="D9" t="s">
        <v>143</v>
      </c>
      <c r="E9" t="s">
        <v>157</v>
      </c>
      <c r="F9" t="s">
        <v>137</v>
      </c>
      <c r="G9" t="s">
        <v>148</v>
      </c>
    </row>
    <row r="10" spans="1:7" x14ac:dyDescent="0.2">
      <c r="A10" t="s">
        <v>158</v>
      </c>
      <c r="B10" t="s">
        <v>89</v>
      </c>
      <c r="C10" t="s">
        <v>24</v>
      </c>
      <c r="D10" t="s">
        <v>146</v>
      </c>
      <c r="E10" t="s">
        <v>159</v>
      </c>
      <c r="F10" t="s">
        <v>137</v>
      </c>
      <c r="G10" t="s">
        <v>138</v>
      </c>
    </row>
    <row r="11" spans="1:7" x14ac:dyDescent="0.2">
      <c r="A11" t="s">
        <v>160</v>
      </c>
      <c r="B11" t="s">
        <v>95</v>
      </c>
      <c r="C11" t="s">
        <v>15</v>
      </c>
      <c r="D11" t="s">
        <v>150</v>
      </c>
      <c r="E11" t="s">
        <v>161</v>
      </c>
      <c r="F11" t="s">
        <v>137</v>
      </c>
      <c r="G11" t="s">
        <v>138</v>
      </c>
    </row>
    <row r="12" spans="1:7" x14ac:dyDescent="0.2">
      <c r="A12" t="s">
        <v>162</v>
      </c>
      <c r="B12" t="s">
        <v>101</v>
      </c>
      <c r="C12" t="s">
        <v>21</v>
      </c>
      <c r="D12" t="s">
        <v>135</v>
      </c>
      <c r="E12" t="s">
        <v>163</v>
      </c>
      <c r="F12" t="s">
        <v>137</v>
      </c>
      <c r="G12" t="s">
        <v>138</v>
      </c>
    </row>
    <row r="13" spans="1:7" x14ac:dyDescent="0.2">
      <c r="A13" t="s">
        <v>164</v>
      </c>
      <c r="B13" t="s">
        <v>107</v>
      </c>
      <c r="C13" t="s">
        <v>27</v>
      </c>
      <c r="D13" t="s">
        <v>140</v>
      </c>
      <c r="E13" t="s">
        <v>165</v>
      </c>
      <c r="F13" t="s">
        <v>137</v>
      </c>
      <c r="G13" t="s">
        <v>148</v>
      </c>
    </row>
    <row r="14" spans="1:7" x14ac:dyDescent="0.2">
      <c r="A14" t="s">
        <v>166</v>
      </c>
      <c r="B14" t="s">
        <v>113</v>
      </c>
      <c r="C14" t="s">
        <v>18</v>
      </c>
      <c r="D14" t="s">
        <v>143</v>
      </c>
      <c r="E14" t="s">
        <v>167</v>
      </c>
      <c r="F14" t="s">
        <v>137</v>
      </c>
      <c r="G14" t="s">
        <v>138</v>
      </c>
    </row>
    <row r="15" spans="1:7" x14ac:dyDescent="0.2">
      <c r="A15" t="s">
        <v>168</v>
      </c>
      <c r="B15" t="s">
        <v>33</v>
      </c>
      <c r="C15" t="s">
        <v>24</v>
      </c>
      <c r="D15" t="s">
        <v>146</v>
      </c>
      <c r="E15" t="s">
        <v>169</v>
      </c>
      <c r="F15" t="s">
        <v>137</v>
      </c>
      <c r="G15" t="s">
        <v>138</v>
      </c>
    </row>
    <row r="16" spans="1:7" x14ac:dyDescent="0.2">
      <c r="A16" t="s">
        <v>170</v>
      </c>
      <c r="B16" t="s">
        <v>42</v>
      </c>
      <c r="C16" t="s">
        <v>15</v>
      </c>
      <c r="D16" t="s">
        <v>150</v>
      </c>
      <c r="E16" t="s">
        <v>171</v>
      </c>
      <c r="F16" t="s">
        <v>137</v>
      </c>
      <c r="G16" t="s">
        <v>138</v>
      </c>
    </row>
    <row r="17" spans="1:7" x14ac:dyDescent="0.2">
      <c r="A17" t="s">
        <v>172</v>
      </c>
      <c r="B17" t="s">
        <v>51</v>
      </c>
      <c r="C17" t="s">
        <v>21</v>
      </c>
      <c r="D17" t="s">
        <v>135</v>
      </c>
      <c r="E17" t="s">
        <v>173</v>
      </c>
      <c r="F17" t="s">
        <v>137</v>
      </c>
      <c r="G17" t="s">
        <v>148</v>
      </c>
    </row>
    <row r="18" spans="1:7" x14ac:dyDescent="0.2">
      <c r="A18" t="s">
        <v>174</v>
      </c>
      <c r="B18" t="s">
        <v>57</v>
      </c>
      <c r="C18" t="s">
        <v>27</v>
      </c>
      <c r="D18" t="s">
        <v>140</v>
      </c>
      <c r="E18" t="s">
        <v>175</v>
      </c>
      <c r="F18" t="s">
        <v>137</v>
      </c>
      <c r="G18" t="s">
        <v>138</v>
      </c>
    </row>
    <row r="19" spans="1:7" x14ac:dyDescent="0.2">
      <c r="A19" t="s">
        <v>176</v>
      </c>
      <c r="B19" t="s">
        <v>63</v>
      </c>
      <c r="C19" t="s">
        <v>18</v>
      </c>
      <c r="D19" t="s">
        <v>143</v>
      </c>
      <c r="E19" t="s">
        <v>177</v>
      </c>
      <c r="F19" t="s">
        <v>137</v>
      </c>
      <c r="G19" t="s">
        <v>138</v>
      </c>
    </row>
    <row r="20" spans="1:7" x14ac:dyDescent="0.2">
      <c r="A20" t="s">
        <v>178</v>
      </c>
      <c r="B20" t="s">
        <v>69</v>
      </c>
      <c r="C20" t="s">
        <v>24</v>
      </c>
      <c r="D20" t="s">
        <v>146</v>
      </c>
      <c r="E20" t="s">
        <v>179</v>
      </c>
      <c r="F20" t="s">
        <v>137</v>
      </c>
      <c r="G20" t="s">
        <v>138</v>
      </c>
    </row>
    <row r="21" spans="1:7" x14ac:dyDescent="0.2">
      <c r="A21" t="s">
        <v>180</v>
      </c>
      <c r="B21" t="s">
        <v>75</v>
      </c>
      <c r="C21" t="s">
        <v>15</v>
      </c>
      <c r="D21" t="s">
        <v>150</v>
      </c>
      <c r="E21" t="s">
        <v>181</v>
      </c>
      <c r="F21" t="s">
        <v>137</v>
      </c>
      <c r="G21" t="s">
        <v>148</v>
      </c>
    </row>
    <row r="22" spans="1:7" x14ac:dyDescent="0.2">
      <c r="A22" t="s">
        <v>182</v>
      </c>
      <c r="B22" t="s">
        <v>81</v>
      </c>
      <c r="C22" t="s">
        <v>21</v>
      </c>
      <c r="D22" t="s">
        <v>135</v>
      </c>
      <c r="E22" t="s">
        <v>183</v>
      </c>
      <c r="F22" t="s">
        <v>137</v>
      </c>
      <c r="G22" t="s">
        <v>138</v>
      </c>
    </row>
    <row r="23" spans="1:7" x14ac:dyDescent="0.2">
      <c r="A23" t="s">
        <v>184</v>
      </c>
      <c r="B23" t="s">
        <v>87</v>
      </c>
      <c r="C23" t="s">
        <v>27</v>
      </c>
      <c r="D23" t="s">
        <v>140</v>
      </c>
      <c r="E23" t="s">
        <v>185</v>
      </c>
      <c r="F23" t="s">
        <v>137</v>
      </c>
      <c r="G23" t="s">
        <v>138</v>
      </c>
    </row>
    <row r="24" spans="1:7" x14ac:dyDescent="0.2">
      <c r="A24" t="s">
        <v>186</v>
      </c>
      <c r="B24" t="s">
        <v>93</v>
      </c>
      <c r="C24" t="s">
        <v>18</v>
      </c>
      <c r="D24" t="s">
        <v>143</v>
      </c>
      <c r="E24" t="s">
        <v>187</v>
      </c>
      <c r="F24" t="s">
        <v>137</v>
      </c>
      <c r="G24" t="s">
        <v>138</v>
      </c>
    </row>
    <row r="25" spans="1:7" x14ac:dyDescent="0.2">
      <c r="A25" t="s">
        <v>188</v>
      </c>
      <c r="B25" t="s">
        <v>99</v>
      </c>
      <c r="C25" t="s">
        <v>24</v>
      </c>
      <c r="D25" t="s">
        <v>146</v>
      </c>
      <c r="E25" t="s">
        <v>189</v>
      </c>
      <c r="F25" t="s">
        <v>137</v>
      </c>
      <c r="G25" t="s">
        <v>148</v>
      </c>
    </row>
    <row r="26" spans="1:7" x14ac:dyDescent="0.2">
      <c r="A26" t="s">
        <v>190</v>
      </c>
      <c r="B26" t="s">
        <v>105</v>
      </c>
      <c r="C26" t="s">
        <v>15</v>
      </c>
      <c r="D26" t="s">
        <v>150</v>
      </c>
      <c r="E26" t="s">
        <v>191</v>
      </c>
      <c r="F26" t="s">
        <v>137</v>
      </c>
      <c r="G26" t="s">
        <v>138</v>
      </c>
    </row>
    <row r="27" spans="1:7" x14ac:dyDescent="0.2">
      <c r="A27" t="s">
        <v>192</v>
      </c>
      <c r="B27" t="s">
        <v>111</v>
      </c>
      <c r="C27" t="s">
        <v>21</v>
      </c>
      <c r="D27" t="s">
        <v>135</v>
      </c>
      <c r="E27" t="s">
        <v>193</v>
      </c>
      <c r="F27" t="s">
        <v>137</v>
      </c>
      <c r="G27" t="s">
        <v>138</v>
      </c>
    </row>
    <row r="28" spans="1:7" x14ac:dyDescent="0.2">
      <c r="A28" t="s">
        <v>194</v>
      </c>
      <c r="B28" t="s">
        <v>30</v>
      </c>
      <c r="C28" t="s">
        <v>27</v>
      </c>
      <c r="D28" t="s">
        <v>140</v>
      </c>
      <c r="E28" t="s">
        <v>195</v>
      </c>
      <c r="F28" t="s">
        <v>137</v>
      </c>
      <c r="G28" t="s">
        <v>138</v>
      </c>
    </row>
    <row r="29" spans="1:7" x14ac:dyDescent="0.2">
      <c r="A29" t="s">
        <v>196</v>
      </c>
      <c r="B29" t="s">
        <v>39</v>
      </c>
      <c r="C29" t="s">
        <v>18</v>
      </c>
      <c r="D29" t="s">
        <v>143</v>
      </c>
      <c r="E29" t="s">
        <v>197</v>
      </c>
      <c r="F29" t="s">
        <v>137</v>
      </c>
      <c r="G29" t="s">
        <v>148</v>
      </c>
    </row>
    <row r="30" spans="1:7" x14ac:dyDescent="0.2">
      <c r="A30" t="s">
        <v>198</v>
      </c>
      <c r="B30" t="s">
        <v>48</v>
      </c>
      <c r="C30" t="s">
        <v>24</v>
      </c>
      <c r="D30" t="s">
        <v>146</v>
      </c>
      <c r="E30" t="s">
        <v>199</v>
      </c>
      <c r="F30" t="s">
        <v>137</v>
      </c>
      <c r="G30" t="s">
        <v>138</v>
      </c>
    </row>
    <row r="31" spans="1:7" x14ac:dyDescent="0.2">
      <c r="A31" t="s">
        <v>200</v>
      </c>
      <c r="B31" t="s">
        <v>55</v>
      </c>
      <c r="C31" t="s">
        <v>15</v>
      </c>
      <c r="D31" t="s">
        <v>150</v>
      </c>
      <c r="E31" t="s">
        <v>201</v>
      </c>
      <c r="F31" t="s">
        <v>137</v>
      </c>
      <c r="G31" t="s">
        <v>138</v>
      </c>
    </row>
    <row r="32" spans="1:7" x14ac:dyDescent="0.2">
      <c r="A32" t="s">
        <v>202</v>
      </c>
      <c r="B32" t="s">
        <v>61</v>
      </c>
      <c r="C32" t="s">
        <v>21</v>
      </c>
      <c r="D32" t="s">
        <v>135</v>
      </c>
      <c r="E32" t="s">
        <v>203</v>
      </c>
      <c r="F32" t="s">
        <v>137</v>
      </c>
      <c r="G32" t="s">
        <v>138</v>
      </c>
    </row>
    <row r="33" spans="1:7" x14ac:dyDescent="0.2">
      <c r="A33" t="s">
        <v>204</v>
      </c>
      <c r="B33" t="s">
        <v>67</v>
      </c>
      <c r="C33" t="s">
        <v>27</v>
      </c>
      <c r="D33" t="s">
        <v>140</v>
      </c>
      <c r="E33" t="s">
        <v>205</v>
      </c>
      <c r="F33" t="s">
        <v>137</v>
      </c>
      <c r="G33" t="s">
        <v>148</v>
      </c>
    </row>
    <row r="34" spans="1:7" x14ac:dyDescent="0.2">
      <c r="A34" t="s">
        <v>206</v>
      </c>
      <c r="B34" t="s">
        <v>73</v>
      </c>
      <c r="C34" t="s">
        <v>18</v>
      </c>
      <c r="D34" t="s">
        <v>143</v>
      </c>
      <c r="E34" t="s">
        <v>207</v>
      </c>
      <c r="F34" t="s">
        <v>137</v>
      </c>
      <c r="G34" t="s">
        <v>138</v>
      </c>
    </row>
    <row r="35" spans="1:7" x14ac:dyDescent="0.2">
      <c r="A35" t="s">
        <v>208</v>
      </c>
      <c r="B35" t="s">
        <v>79</v>
      </c>
      <c r="C35" t="s">
        <v>24</v>
      </c>
      <c r="D35" t="s">
        <v>146</v>
      </c>
      <c r="E35" t="s">
        <v>209</v>
      </c>
      <c r="F35" t="s">
        <v>137</v>
      </c>
      <c r="G35" t="s">
        <v>138</v>
      </c>
    </row>
    <row r="36" spans="1:7" x14ac:dyDescent="0.2">
      <c r="A36" t="s">
        <v>210</v>
      </c>
      <c r="B36" t="s">
        <v>85</v>
      </c>
      <c r="C36" t="s">
        <v>15</v>
      </c>
      <c r="D36" t="s">
        <v>150</v>
      </c>
      <c r="E36" t="s">
        <v>211</v>
      </c>
      <c r="F36" t="s">
        <v>137</v>
      </c>
      <c r="G36" t="s">
        <v>138</v>
      </c>
    </row>
    <row r="37" spans="1:7" x14ac:dyDescent="0.2">
      <c r="A37" t="s">
        <v>212</v>
      </c>
      <c r="B37" t="s">
        <v>91</v>
      </c>
      <c r="C37" t="s">
        <v>21</v>
      </c>
      <c r="D37" t="s">
        <v>135</v>
      </c>
      <c r="E37" t="s">
        <v>213</v>
      </c>
      <c r="F37" t="s">
        <v>137</v>
      </c>
      <c r="G37" t="s">
        <v>148</v>
      </c>
    </row>
    <row r="38" spans="1:7" x14ac:dyDescent="0.2">
      <c r="A38" t="s">
        <v>214</v>
      </c>
      <c r="B38" t="s">
        <v>97</v>
      </c>
      <c r="C38" t="s">
        <v>27</v>
      </c>
      <c r="D38" t="s">
        <v>140</v>
      </c>
      <c r="E38" t="s">
        <v>215</v>
      </c>
      <c r="F38" t="s">
        <v>137</v>
      </c>
      <c r="G38" t="s">
        <v>138</v>
      </c>
    </row>
    <row r="39" spans="1:7" x14ac:dyDescent="0.2">
      <c r="A39" t="s">
        <v>216</v>
      </c>
      <c r="B39" t="s">
        <v>103</v>
      </c>
      <c r="C39" t="s">
        <v>18</v>
      </c>
      <c r="D39" t="s">
        <v>143</v>
      </c>
      <c r="E39" t="s">
        <v>217</v>
      </c>
      <c r="F39" t="s">
        <v>137</v>
      </c>
      <c r="G39" t="s">
        <v>138</v>
      </c>
    </row>
    <row r="40" spans="1:7" x14ac:dyDescent="0.2">
      <c r="A40" t="s">
        <v>218</v>
      </c>
      <c r="B40" t="s">
        <v>109</v>
      </c>
      <c r="C40" t="s">
        <v>24</v>
      </c>
      <c r="D40" t="s">
        <v>146</v>
      </c>
      <c r="E40" t="s">
        <v>219</v>
      </c>
      <c r="F40" t="s">
        <v>137</v>
      </c>
      <c r="G40" t="s">
        <v>138</v>
      </c>
    </row>
    <row r="41" spans="1:7" x14ac:dyDescent="0.2">
      <c r="A41" t="s">
        <v>220</v>
      </c>
      <c r="B41" t="s">
        <v>14</v>
      </c>
      <c r="C41" t="s">
        <v>15</v>
      </c>
      <c r="D41" t="s">
        <v>150</v>
      </c>
      <c r="E41" t="s">
        <v>221</v>
      </c>
      <c r="F41" t="s">
        <v>137</v>
      </c>
      <c r="G41" t="s">
        <v>148</v>
      </c>
    </row>
    <row r="42" spans="1:7" x14ac:dyDescent="0.2">
      <c r="A42" t="s">
        <v>222</v>
      </c>
      <c r="B42" t="s">
        <v>36</v>
      </c>
      <c r="C42" t="s">
        <v>21</v>
      </c>
      <c r="D42" t="s">
        <v>135</v>
      </c>
      <c r="E42" t="s">
        <v>223</v>
      </c>
      <c r="F42" t="s">
        <v>137</v>
      </c>
      <c r="G42" t="s">
        <v>138</v>
      </c>
    </row>
    <row r="43" spans="1:7" x14ac:dyDescent="0.2">
      <c r="A43" t="s">
        <v>224</v>
      </c>
      <c r="B43" t="s">
        <v>45</v>
      </c>
      <c r="C43" t="s">
        <v>27</v>
      </c>
      <c r="D43" t="s">
        <v>140</v>
      </c>
      <c r="E43" t="s">
        <v>225</v>
      </c>
      <c r="F43" t="s">
        <v>137</v>
      </c>
      <c r="G43" t="s">
        <v>138</v>
      </c>
    </row>
    <row r="44" spans="1:7" x14ac:dyDescent="0.2">
      <c r="A44" t="s">
        <v>226</v>
      </c>
      <c r="B44" t="s">
        <v>53</v>
      </c>
      <c r="C44" t="s">
        <v>18</v>
      </c>
      <c r="D44" t="s">
        <v>143</v>
      </c>
      <c r="E44" t="s">
        <v>227</v>
      </c>
      <c r="F44" t="s">
        <v>137</v>
      </c>
      <c r="G44" t="s">
        <v>138</v>
      </c>
    </row>
    <row r="45" spans="1:7" x14ac:dyDescent="0.2">
      <c r="A45" t="s">
        <v>228</v>
      </c>
      <c r="B45" t="s">
        <v>59</v>
      </c>
      <c r="C45" t="s">
        <v>24</v>
      </c>
      <c r="D45" t="s">
        <v>146</v>
      </c>
      <c r="E45" t="s">
        <v>229</v>
      </c>
      <c r="F45" t="s">
        <v>137</v>
      </c>
      <c r="G45" t="s">
        <v>148</v>
      </c>
    </row>
    <row r="46" spans="1:7" x14ac:dyDescent="0.2">
      <c r="A46" t="s">
        <v>230</v>
      </c>
      <c r="B46" t="s">
        <v>65</v>
      </c>
      <c r="C46" t="s">
        <v>15</v>
      </c>
      <c r="D46" t="s">
        <v>150</v>
      </c>
      <c r="E46" t="s">
        <v>231</v>
      </c>
      <c r="F46" t="s">
        <v>137</v>
      </c>
      <c r="G46" t="s">
        <v>138</v>
      </c>
    </row>
    <row r="47" spans="1:7" x14ac:dyDescent="0.2">
      <c r="A47" t="s">
        <v>232</v>
      </c>
      <c r="B47" t="s">
        <v>71</v>
      </c>
      <c r="C47" t="s">
        <v>21</v>
      </c>
      <c r="D47" t="s">
        <v>135</v>
      </c>
      <c r="E47" t="s">
        <v>233</v>
      </c>
      <c r="F47" t="s">
        <v>137</v>
      </c>
      <c r="G47" t="s">
        <v>138</v>
      </c>
    </row>
    <row r="48" spans="1:7" x14ac:dyDescent="0.2">
      <c r="A48" t="s">
        <v>234</v>
      </c>
      <c r="B48" t="s">
        <v>77</v>
      </c>
      <c r="C48" t="s">
        <v>27</v>
      </c>
      <c r="D48" t="s">
        <v>140</v>
      </c>
      <c r="E48" t="s">
        <v>235</v>
      </c>
      <c r="F48" t="s">
        <v>137</v>
      </c>
      <c r="G48" t="s">
        <v>138</v>
      </c>
    </row>
    <row r="49" spans="1:7" x14ac:dyDescent="0.2">
      <c r="A49" t="s">
        <v>236</v>
      </c>
      <c r="B49" t="s">
        <v>83</v>
      </c>
      <c r="C49" t="s">
        <v>18</v>
      </c>
      <c r="D49" t="s">
        <v>143</v>
      </c>
      <c r="E49" t="s">
        <v>237</v>
      </c>
      <c r="F49" t="s">
        <v>137</v>
      </c>
      <c r="G49" t="s">
        <v>148</v>
      </c>
    </row>
    <row r="50" spans="1:7" x14ac:dyDescent="0.2">
      <c r="A50" t="s">
        <v>238</v>
      </c>
      <c r="B50" t="s">
        <v>89</v>
      </c>
      <c r="C50" t="s">
        <v>24</v>
      </c>
      <c r="D50" t="s">
        <v>146</v>
      </c>
      <c r="E50" t="s">
        <v>239</v>
      </c>
      <c r="F50" t="s">
        <v>137</v>
      </c>
      <c r="G50" t="s">
        <v>138</v>
      </c>
    </row>
    <row r="51" spans="1:7" x14ac:dyDescent="0.2">
      <c r="A51" t="s">
        <v>240</v>
      </c>
      <c r="B51" t="s">
        <v>95</v>
      </c>
      <c r="C51" t="s">
        <v>15</v>
      </c>
      <c r="D51" t="s">
        <v>150</v>
      </c>
      <c r="E51" t="s">
        <v>241</v>
      </c>
      <c r="F51" t="s">
        <v>137</v>
      </c>
      <c r="G51" t="s">
        <v>138</v>
      </c>
    </row>
    <row r="52" spans="1:7" x14ac:dyDescent="0.2">
      <c r="A52" t="s">
        <v>242</v>
      </c>
      <c r="B52" t="s">
        <v>101</v>
      </c>
      <c r="C52" t="s">
        <v>21</v>
      </c>
      <c r="D52" t="s">
        <v>135</v>
      </c>
      <c r="E52" t="s">
        <v>243</v>
      </c>
      <c r="F52" t="s">
        <v>137</v>
      </c>
      <c r="G52" t="s">
        <v>138</v>
      </c>
    </row>
    <row r="53" spans="1:7" x14ac:dyDescent="0.2">
      <c r="A53" t="s">
        <v>244</v>
      </c>
      <c r="B53" t="s">
        <v>107</v>
      </c>
      <c r="C53" t="s">
        <v>27</v>
      </c>
      <c r="D53" t="s">
        <v>140</v>
      </c>
      <c r="E53" t="s">
        <v>245</v>
      </c>
      <c r="F53" t="s">
        <v>137</v>
      </c>
      <c r="G53" t="s">
        <v>148</v>
      </c>
    </row>
    <row r="54" spans="1:7" x14ac:dyDescent="0.2">
      <c r="A54" t="s">
        <v>246</v>
      </c>
      <c r="B54" t="s">
        <v>113</v>
      </c>
      <c r="C54" t="s">
        <v>18</v>
      </c>
      <c r="D54" t="s">
        <v>143</v>
      </c>
      <c r="E54" t="s">
        <v>247</v>
      </c>
      <c r="F54" t="s">
        <v>137</v>
      </c>
      <c r="G54" t="s">
        <v>138</v>
      </c>
    </row>
    <row r="55" spans="1:7" x14ac:dyDescent="0.2">
      <c r="A55" t="s">
        <v>248</v>
      </c>
      <c r="B55" t="s">
        <v>33</v>
      </c>
      <c r="C55" t="s">
        <v>24</v>
      </c>
      <c r="D55" t="s">
        <v>146</v>
      </c>
      <c r="E55" t="s">
        <v>249</v>
      </c>
      <c r="F55" t="s">
        <v>137</v>
      </c>
      <c r="G55" t="s">
        <v>138</v>
      </c>
    </row>
    <row r="56" spans="1:7" x14ac:dyDescent="0.2">
      <c r="A56" t="s">
        <v>250</v>
      </c>
      <c r="B56" t="s">
        <v>42</v>
      </c>
      <c r="C56" t="s">
        <v>15</v>
      </c>
      <c r="D56" t="s">
        <v>150</v>
      </c>
      <c r="E56" t="s">
        <v>251</v>
      </c>
      <c r="F56" t="s">
        <v>137</v>
      </c>
      <c r="G56" t="s">
        <v>138</v>
      </c>
    </row>
    <row r="57" spans="1:7" x14ac:dyDescent="0.2">
      <c r="A57" t="s">
        <v>252</v>
      </c>
      <c r="B57" t="s">
        <v>51</v>
      </c>
      <c r="C57" t="s">
        <v>21</v>
      </c>
      <c r="D57" t="s">
        <v>135</v>
      </c>
      <c r="E57" t="s">
        <v>253</v>
      </c>
      <c r="F57" t="s">
        <v>137</v>
      </c>
      <c r="G57" t="s">
        <v>148</v>
      </c>
    </row>
    <row r="58" spans="1:7" x14ac:dyDescent="0.2">
      <c r="A58" t="s">
        <v>254</v>
      </c>
      <c r="B58" t="s">
        <v>57</v>
      </c>
      <c r="C58" t="s">
        <v>27</v>
      </c>
      <c r="D58" t="s">
        <v>140</v>
      </c>
      <c r="E58" t="s">
        <v>255</v>
      </c>
      <c r="F58" t="s">
        <v>137</v>
      </c>
      <c r="G58" t="s">
        <v>138</v>
      </c>
    </row>
    <row r="59" spans="1:7" x14ac:dyDescent="0.2">
      <c r="A59" t="s">
        <v>256</v>
      </c>
      <c r="B59" t="s">
        <v>63</v>
      </c>
      <c r="C59" t="s">
        <v>18</v>
      </c>
      <c r="D59" t="s">
        <v>143</v>
      </c>
      <c r="E59" t="s">
        <v>257</v>
      </c>
      <c r="F59" t="s">
        <v>137</v>
      </c>
      <c r="G59" t="s">
        <v>138</v>
      </c>
    </row>
    <row r="60" spans="1:7" x14ac:dyDescent="0.2">
      <c r="A60" t="s">
        <v>258</v>
      </c>
      <c r="B60" t="s">
        <v>69</v>
      </c>
      <c r="C60" t="s">
        <v>24</v>
      </c>
      <c r="D60" t="s">
        <v>146</v>
      </c>
      <c r="E60" t="s">
        <v>259</v>
      </c>
      <c r="F60" t="s">
        <v>137</v>
      </c>
      <c r="G60" t="s">
        <v>138</v>
      </c>
    </row>
    <row r="61" spans="1:7" x14ac:dyDescent="0.2">
      <c r="A61" t="s">
        <v>260</v>
      </c>
      <c r="B61" t="s">
        <v>75</v>
      </c>
      <c r="C61" t="s">
        <v>15</v>
      </c>
      <c r="D61" t="s">
        <v>150</v>
      </c>
      <c r="E61" t="s">
        <v>261</v>
      </c>
      <c r="F61" t="s">
        <v>137</v>
      </c>
      <c r="G61" t="s">
        <v>148</v>
      </c>
    </row>
  </sheetData>
  <autoFilter ref="A1:G6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Calificaciones</vt:lpstr>
      <vt:lpstr>Resumen</vt:lpstr>
      <vt:lpstr>Por asignatura</vt:lpstr>
      <vt:lpstr>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Documento Excel de ejemplo ampliado</dc:title>
  <dc:creator>Hermes Agent</dc:creator>
  <cp:lastModifiedBy>Pablo Rodríguez (Tymit)</cp:lastModifiedBy>
  <dcterms:created xsi:type="dcterms:W3CDTF">2026-05-23T10:32:29Z</dcterms:created>
  <dcterms:modified xsi:type="dcterms:W3CDTF">2026-05-23T10:32:29Z</dcterms:modified>
</cp:coreProperties>
</file>