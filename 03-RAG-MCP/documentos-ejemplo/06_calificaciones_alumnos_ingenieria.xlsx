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ificaciones" sheetId="1" r:id="rId1"/>
    <sheet name="Resumen" sheetId="2" r:id="rId2"/>
    <sheet name="Por asignatura" sheetId="3" r:id="rId3"/>
    <sheet name="Parámetros" sheetId="4" r:id="rId4"/>
    <sheet name="Incidencias" sheetId="5" r:id="rId5"/>
  </sheets>
  <calcPr calcId="191029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4" customWidth="1"/>
    <col min="4" max="4" width="8" customWidth="1"/>
    <col min="5" max="5" width="11" customWidth="1"/>
    <col min="6" max="6" width="11" customWidth="1"/>
    <col min="7" max="7" width="11" customWidth="1"/>
    <col min="8" max="8" width="11" customWidth="1"/>
    <col min="9" max="9" width="12" customWidth="1"/>
    <col min="10" max="10" width="16" customWidth="1"/>
    <col min="11" max="11" width="11" customWidth="1"/>
    <col min="12" max="12" width="10" customWidth="1"/>
    <col min="13" max="13" width="55" customWidth="1"/>
  </cols>
  <sheetData>
    <row r="1">
      <c r="A1" t="inlineStr" s="1">
        <is>
          <t>ID</t>
        </is>
      </c>
      <c r="B1" t="inlineStr" s="1">
        <is>
          <t>Alumno</t>
        </is>
      </c>
      <c r="C1" t="inlineStr" s="1">
        <is>
          <t>Asignatura</t>
        </is>
      </c>
      <c r="D1" t="inlineStr" s="1">
        <is>
          <t>Grupo</t>
        </is>
      </c>
      <c r="E1" t="inlineStr" s="1">
        <is>
          <t>Prácticas</t>
        </is>
      </c>
      <c r="F1" t="inlineStr" s="1">
        <is>
          <t>Parcial 1</t>
        </is>
      </c>
      <c r="G1" t="inlineStr" s="1">
        <is>
          <t>Parcial 2</t>
        </is>
      </c>
      <c r="H1" t="inlineStr" s="1">
        <is>
          <t>Proyecto</t>
        </is>
      </c>
      <c r="I1" t="inlineStr" s="1">
        <is>
          <t>Asistencia %</t>
        </is>
      </c>
      <c r="J1" t="inlineStr" s="1">
        <is>
          <t>Entregas retrasadas</t>
        </is>
      </c>
      <c r="K1" t="inlineStr" s="1">
        <is>
          <t>Nota final</t>
        </is>
      </c>
      <c r="L1" t="inlineStr" s="1">
        <is>
          <t>Estado</t>
        </is>
      </c>
      <c r="M1" t="inlineStr" s="1">
        <is>
          <t>Observaciones</t>
        </is>
      </c>
    </row>
    <row r="2">
      <c r="A2" t="inlineStr">
        <is>
          <t>ALU-001</t>
        </is>
      </c>
      <c r="B2" t="inlineStr">
        <is>
          <t>Lucía Martín</t>
        </is>
      </c>
      <c r="C2" t="inlineStr">
        <is>
          <t>Cálculo Numérico</t>
        </is>
      </c>
      <c r="D2" t="inlineStr">
        <is>
          <t>G2</t>
        </is>
      </c>
      <c r="E2">
        <v>6.8</v>
      </c>
      <c r="F2">
        <v>5.4</v>
      </c>
      <c r="G2">
        <v>6.9</v>
      </c>
      <c r="H2">
        <v>5.8</v>
      </c>
      <c r="I2">
        <v>100</v>
      </c>
      <c r="J2">
        <v>0</v>
      </c>
      <c r="K2">
        <f>MAX(0,MIN(10,ROUND(E2*0.20+F2*0.25+G2*0.25+H2*0.25+I2/100*0.50-J2*0.15,1)))</f>
        <v>6.4</v>
      </c>
      <c r="L2" t="str">
        <f>IF(K2&gt;=5,"Apto","No apto")</f>
        <v>Apto</v>
      </c>
      <c r="M2" t="inlineStr">
        <is>
          <t>Participa de forma regular y entrega con calidad suficiente.</t>
        </is>
      </c>
    </row>
    <row r="3">
      <c r="A3" t="inlineStr">
        <is>
          <t>ALU-001</t>
        </is>
      </c>
      <c r="B3" t="inlineStr">
        <is>
          <t>Lucía Martín</t>
        </is>
      </c>
      <c r="C3" t="inlineStr">
        <is>
          <t>Sistemas Digitales</t>
        </is>
      </c>
      <c r="D3" t="inlineStr">
        <is>
          <t>G3</t>
        </is>
      </c>
      <c r="E3">
        <v>7.2</v>
      </c>
      <c r="F3">
        <v>7.6</v>
      </c>
      <c r="G3">
        <v>6.4</v>
      </c>
      <c r="H3">
        <v>6.6</v>
      </c>
      <c r="I3">
        <v>92</v>
      </c>
      <c r="J3">
        <v>0</v>
      </c>
      <c r="K3">
        <f>MAX(0,MIN(10,ROUND(E3*0.20+F3*0.25+G3*0.25+H3*0.25+I3/100*0.50-J3*0.15,1)))</f>
        <v>7.0</v>
      </c>
      <c r="L3" t="str">
        <f>IF(K3&gt;=5,"Apto","No apto")</f>
        <v>Apto</v>
      </c>
      <c r="M3" t="inlineStr">
        <is>
          <t>Buen trabajo en prácticas, con margen en la argumentación.</t>
        </is>
      </c>
    </row>
    <row r="4">
      <c r="A4" t="inlineStr">
        <is>
          <t>ALU-001</t>
        </is>
      </c>
      <c r="B4" t="inlineStr">
        <is>
          <t>Lucía Martín</t>
        </is>
      </c>
      <c r="C4" t="inlineStr">
        <is>
          <t>Termodinámica Aplicada</t>
        </is>
      </c>
      <c r="D4" t="inlineStr">
        <is>
          <t>G4</t>
        </is>
      </c>
      <c r="E4">
        <v>4.9</v>
      </c>
      <c r="F4">
        <v>5.0</v>
      </c>
      <c r="G4">
        <v>5.8</v>
      </c>
      <c r="H4">
        <v>4.8</v>
      </c>
      <c r="I4">
        <v>100</v>
      </c>
      <c r="J4">
        <v>0</v>
      </c>
      <c r="K4">
        <f>MAX(0,MIN(10,ROUND(E4*0.20+F4*0.25+G4*0.25+H4*0.25+I4/100*0.50-J4*0.15,1)))</f>
        <v>5.4</v>
      </c>
      <c r="L4" t="str">
        <f>IF(K4&gt;=5,"Apto","No apto")</f>
        <v>Apto</v>
      </c>
      <c r="M4" t="inlineStr">
        <is>
          <t>Resultados sólidos, especialmente en proyecto.</t>
        </is>
      </c>
    </row>
    <row r="5">
      <c r="A5" t="inlineStr">
        <is>
          <t>ALU-001</t>
        </is>
      </c>
      <c r="B5" t="inlineStr">
        <is>
          <t>Lucía Martín</t>
        </is>
      </c>
      <c r="C5" t="inlineStr">
        <is>
          <t>Robótica Móvil</t>
        </is>
      </c>
      <c r="D5" t="inlineStr">
        <is>
          <t>G1</t>
        </is>
      </c>
      <c r="E5">
        <v>6.5</v>
      </c>
      <c r="F5">
        <v>7.2</v>
      </c>
      <c r="G5">
        <v>6.4</v>
      </c>
      <c r="H5">
        <v>7.8</v>
      </c>
      <c r="I5">
        <v>96</v>
      </c>
      <c r="J5">
        <v>0</v>
      </c>
      <c r="K5">
        <f>MAX(0,MIN(10,ROUND(E5*0.20+F5*0.25+G5*0.25+H5*0.25+I5/100*0.50-J5*0.15,1)))</f>
        <v>7.1</v>
      </c>
      <c r="L5" t="str">
        <f>IF(K5&gt;=5,"Apto","No apto")</f>
        <v>Apto</v>
      </c>
      <c r="M5" t="inlineStr">
        <is>
          <t>Participa de forma regular y entrega con calidad suficiente.</t>
        </is>
      </c>
    </row>
    <row r="6">
      <c r="A6" t="inlineStr">
        <is>
          <t>ALU-001</t>
        </is>
      </c>
      <c r="B6" t="inlineStr">
        <is>
          <t>Lucía Martín</t>
        </is>
      </c>
      <c r="C6" t="inlineStr">
        <is>
          <t>Redes Industriales</t>
        </is>
      </c>
      <c r="D6" t="inlineStr">
        <is>
          <t>G2</t>
        </is>
      </c>
      <c r="E6">
        <v>6.0</v>
      </c>
      <c r="F6">
        <v>5.9</v>
      </c>
      <c r="G6">
        <v>4.2</v>
      </c>
      <c r="H6">
        <v>6.2</v>
      </c>
      <c r="I6">
        <v>91</v>
      </c>
      <c r="J6">
        <v>0</v>
      </c>
      <c r="K6">
        <f>MAX(0,MIN(10,ROUND(E6*0.20+F6*0.25+G6*0.25+H6*0.25+I6/100*0.50-J6*0.15,1)))</f>
        <v>5.7</v>
      </c>
      <c r="L6" t="str">
        <f>IF(K6&gt;=5,"Apto","No apto")</f>
        <v>Apto</v>
      </c>
      <c r="M6" t="inlineStr">
        <is>
          <t>Buen trabajo en prácticas, con margen en la argumentación.</t>
        </is>
      </c>
    </row>
    <row r="7">
      <c r="A7" t="inlineStr">
        <is>
          <t>ALU-002</t>
        </is>
      </c>
      <c r="B7" t="inlineStr">
        <is>
          <t>Javier Ruiz</t>
        </is>
      </c>
      <c r="C7" t="inlineStr">
        <is>
          <t>Cálculo Numérico</t>
        </is>
      </c>
      <c r="D7" t="inlineStr">
        <is>
          <t>G3</t>
        </is>
      </c>
      <c r="E7">
        <v>7.4</v>
      </c>
      <c r="F7">
        <v>6.6</v>
      </c>
      <c r="G7">
        <v>6.6</v>
      </c>
      <c r="H7">
        <v>6.5</v>
      </c>
      <c r="I7">
        <v>88</v>
      </c>
      <c r="J7">
        <v>0</v>
      </c>
      <c r="K7">
        <f>MAX(0,MIN(10,ROUND(E7*0.20+F7*0.25+G7*0.25+H7*0.25+I7/100*0.50-J7*0.15,1)))</f>
        <v>6.8</v>
      </c>
      <c r="L7" t="str">
        <f>IF(K7&gt;=5,"Apto","No apto")</f>
        <v>Apto</v>
      </c>
      <c r="M7" t="inlineStr">
        <is>
          <t>Rendimiento irregular: muy dependiente de la evaluación continua.</t>
        </is>
      </c>
    </row>
    <row r="8">
      <c r="A8" t="inlineStr">
        <is>
          <t>ALU-002</t>
        </is>
      </c>
      <c r="B8" t="inlineStr">
        <is>
          <t>Javier Ruiz</t>
        </is>
      </c>
      <c r="C8" t="inlineStr">
        <is>
          <t>Sistemas Digitales</t>
        </is>
      </c>
      <c r="D8" t="inlineStr">
        <is>
          <t>G4</t>
        </is>
      </c>
      <c r="E8">
        <v>7.7</v>
      </c>
      <c r="F8">
        <v>7.6</v>
      </c>
      <c r="G8">
        <v>8.0</v>
      </c>
      <c r="H8">
        <v>7.9</v>
      </c>
      <c r="I8">
        <v>85</v>
      </c>
      <c r="J8">
        <v>0</v>
      </c>
      <c r="K8">
        <f>MAX(0,MIN(10,ROUND(E8*0.20+F8*0.25+G8*0.25+H8*0.25+I8/100*0.50-J8*0.15,1)))</f>
        <v>7.8</v>
      </c>
      <c r="L8" t="str">
        <f>IF(K8&gt;=5,"Apto","No apto")</f>
        <v>Apto</v>
      </c>
      <c r="M8" t="inlineStr">
        <is>
          <t>Buen trabajo en prácticas, con margen en la argumentación.</t>
        </is>
      </c>
    </row>
    <row r="9">
      <c r="A9" t="inlineStr">
        <is>
          <t>ALU-002</t>
        </is>
      </c>
      <c r="B9" t="inlineStr">
        <is>
          <t>Javier Ruiz</t>
        </is>
      </c>
      <c r="C9" t="inlineStr">
        <is>
          <t>Termodinámica Aplicada</t>
        </is>
      </c>
      <c r="D9" t="inlineStr">
        <is>
          <t>G1</t>
        </is>
      </c>
      <c r="E9">
        <v>6.0</v>
      </c>
      <c r="F9">
        <v>6.2</v>
      </c>
      <c r="G9">
        <v>6.6</v>
      </c>
      <c r="H9">
        <v>6.1</v>
      </c>
      <c r="I9">
        <v>84</v>
      </c>
      <c r="J9">
        <v>0</v>
      </c>
      <c r="K9">
        <f>MAX(0,MIN(10,ROUND(E9*0.20+F9*0.25+G9*0.25+H9*0.25+I9/100*0.50-J9*0.15,1)))</f>
        <v>6.3</v>
      </c>
      <c r="L9" t="str">
        <f>IF(K9&gt;=5,"Apto","No apto")</f>
        <v>Apto</v>
      </c>
      <c r="M9" t="inlineStr">
        <is>
          <t>Rendimiento irregular: muy dependiente de la evaluación continua.</t>
        </is>
      </c>
    </row>
    <row r="10">
      <c r="A10" t="inlineStr">
        <is>
          <t>ALU-002</t>
        </is>
      </c>
      <c r="B10" t="inlineStr">
        <is>
          <t>Javier Ruiz</t>
        </is>
      </c>
      <c r="C10" t="inlineStr">
        <is>
          <t>Robótica Móvil</t>
        </is>
      </c>
      <c r="D10" t="inlineStr">
        <is>
          <t>G2</t>
        </is>
      </c>
      <c r="E10">
        <v>8.5</v>
      </c>
      <c r="F10">
        <v>7.5</v>
      </c>
      <c r="G10">
        <v>7.9</v>
      </c>
      <c r="H10">
        <v>9.3</v>
      </c>
      <c r="I10">
        <v>98</v>
      </c>
      <c r="J10">
        <v>1</v>
      </c>
      <c r="K10">
        <f>MAX(0,MIN(10,ROUND(E10*0.20+F10*0.25+G10*0.25+H10*0.25+I10/100*0.50-J10*0.15,1)))</f>
        <v>8.2</v>
      </c>
      <c r="L10" t="str">
        <f>IF(K10&gt;=5,"Apto","No apto")</f>
        <v>Apto</v>
      </c>
      <c r="M10" t="inlineStr">
        <is>
          <t>Progreso estable; conviene reforzar la parte teórica.</t>
        </is>
      </c>
    </row>
    <row r="11">
      <c r="A11" t="inlineStr">
        <is>
          <t>ALU-002</t>
        </is>
      </c>
      <c r="B11" t="inlineStr">
        <is>
          <t>Javier Ruiz</t>
        </is>
      </c>
      <c r="C11" t="inlineStr">
        <is>
          <t>Redes Industriales</t>
        </is>
      </c>
      <c r="D11" t="inlineStr">
        <is>
          <t>G3</t>
        </is>
      </c>
      <c r="E11">
        <v>8.3</v>
      </c>
      <c r="F11">
        <v>6.7</v>
      </c>
      <c r="G11">
        <v>7.6</v>
      </c>
      <c r="H11">
        <v>7.4</v>
      </c>
      <c r="I11">
        <v>91</v>
      </c>
      <c r="J11">
        <v>0</v>
      </c>
      <c r="K11">
        <f>MAX(0,MIN(10,ROUND(E11*0.20+F11*0.25+G11*0.25+H11*0.25+I11/100*0.50-J11*0.15,1)))</f>
        <v>7.5</v>
      </c>
      <c r="L11" t="str">
        <f>IF(K11&gt;=5,"Apto","No apto")</f>
        <v>Apto</v>
      </c>
      <c r="M11" t="inlineStr">
        <is>
          <t>Participa de forma regular y entrega con calidad suficiente.</t>
        </is>
      </c>
    </row>
    <row r="12">
      <c r="A12" t="inlineStr">
        <is>
          <t>ALU-003</t>
        </is>
      </c>
      <c r="B12" t="inlineStr">
        <is>
          <t>Sofía Navarro</t>
        </is>
      </c>
      <c r="C12" t="inlineStr">
        <is>
          <t>Cálculo Numérico</t>
        </is>
      </c>
      <c r="D12" t="inlineStr">
        <is>
          <t>G4</t>
        </is>
      </c>
      <c r="E12">
        <v>8.5</v>
      </c>
      <c r="F12">
        <v>6.5</v>
      </c>
      <c r="G12">
        <v>6.1</v>
      </c>
      <c r="H12">
        <v>8.5</v>
      </c>
      <c r="I12">
        <v>85</v>
      </c>
      <c r="J12">
        <v>1</v>
      </c>
      <c r="K12">
        <f>MAX(0,MIN(10,ROUND(E12*0.20+F12*0.25+G12*0.25+H12*0.25+I12/100*0.50-J12*0.15,1)))</f>
        <v>7.2</v>
      </c>
      <c r="L12" t="str">
        <f>IF(K12&gt;=5,"Apto","No apto")</f>
        <v>Apto</v>
      </c>
      <c r="M12" t="inlineStr">
        <is>
          <t>Mejora clara respecto al primer parcial.</t>
        </is>
      </c>
    </row>
    <row r="13">
      <c r="A13" t="inlineStr">
        <is>
          <t>ALU-003</t>
        </is>
      </c>
      <c r="B13" t="inlineStr">
        <is>
          <t>Sofía Navarro</t>
        </is>
      </c>
      <c r="C13" t="inlineStr">
        <is>
          <t>Sistemas Digitales</t>
        </is>
      </c>
      <c r="D13" t="inlineStr">
        <is>
          <t>G1</t>
        </is>
      </c>
      <c r="E13">
        <v>7.2</v>
      </c>
      <c r="F13">
        <v>5.5</v>
      </c>
      <c r="G13">
        <v>7.6</v>
      </c>
      <c r="H13">
        <v>8.0</v>
      </c>
      <c r="I13">
        <v>86</v>
      </c>
      <c r="J13">
        <v>0</v>
      </c>
      <c r="K13">
        <f>MAX(0,MIN(10,ROUND(E13*0.20+F13*0.25+G13*0.25+H13*0.25+I13/100*0.50-J13*0.15,1)))</f>
        <v>7.1</v>
      </c>
      <c r="L13" t="str">
        <f>IF(K13&gt;=5,"Apto","No apto")</f>
        <v>Apto</v>
      </c>
      <c r="M13" t="inlineStr">
        <is>
          <t>Rendimiento irregular: muy dependiente de la evaluación continua.</t>
        </is>
      </c>
    </row>
    <row r="14">
      <c r="A14" t="inlineStr">
        <is>
          <t>ALU-003</t>
        </is>
      </c>
      <c r="B14" t="inlineStr">
        <is>
          <t>Sofía Navarro</t>
        </is>
      </c>
      <c r="C14" t="inlineStr">
        <is>
          <t>Termodinámica Aplicada</t>
        </is>
      </c>
      <c r="D14" t="inlineStr">
        <is>
          <t>G2</t>
        </is>
      </c>
      <c r="E14">
        <v>6.7</v>
      </c>
      <c r="F14">
        <v>4.6</v>
      </c>
      <c r="G14">
        <v>8.7</v>
      </c>
      <c r="H14">
        <v>6.4</v>
      </c>
      <c r="I14">
        <v>87</v>
      </c>
      <c r="J14">
        <v>0</v>
      </c>
      <c r="K14">
        <f>MAX(0,MIN(10,ROUND(E14*0.20+F14*0.25+G14*0.25+H14*0.25+I14/100*0.50-J14*0.15,1)))</f>
        <v>6.7</v>
      </c>
      <c r="L14" t="str">
        <f>IF(K14&gt;=5,"Apto","No apto")</f>
        <v>Apto</v>
      </c>
      <c r="M14" t="inlineStr">
        <is>
          <t>Progreso estable; conviene reforzar la parte teórica.</t>
        </is>
      </c>
    </row>
    <row r="15">
      <c r="A15" t="inlineStr">
        <is>
          <t>ALU-003</t>
        </is>
      </c>
      <c r="B15" t="inlineStr">
        <is>
          <t>Sofía Navarro</t>
        </is>
      </c>
      <c r="C15" t="inlineStr">
        <is>
          <t>Robótica Móvil</t>
        </is>
      </c>
      <c r="D15" t="inlineStr">
        <is>
          <t>G3</t>
        </is>
      </c>
      <c r="E15">
        <v>5.4</v>
      </c>
      <c r="F15">
        <v>7.1</v>
      </c>
      <c r="G15">
        <v>9.6</v>
      </c>
      <c r="H15">
        <v>8.2</v>
      </c>
      <c r="I15">
        <v>85</v>
      </c>
      <c r="J15">
        <v>0</v>
      </c>
      <c r="K15">
        <f>MAX(0,MIN(10,ROUND(E15*0.20+F15*0.25+G15*0.25+H15*0.25+I15/100*0.50-J15*0.15,1)))</f>
        <v>7.7</v>
      </c>
      <c r="L15" t="str">
        <f>IF(K15&gt;=5,"Apto","No apto")</f>
        <v>Apto</v>
      </c>
      <c r="M15" t="inlineStr">
        <is>
          <t>Conviene seguimiento en tutoría antes del cierre de actas.</t>
        </is>
      </c>
    </row>
    <row r="16">
      <c r="A16" t="inlineStr">
        <is>
          <t>ALU-003</t>
        </is>
      </c>
      <c r="B16" t="inlineStr">
        <is>
          <t>Sofía Navarro</t>
        </is>
      </c>
      <c r="C16" t="inlineStr">
        <is>
          <t>Redes Industriales</t>
        </is>
      </c>
      <c r="D16" t="inlineStr">
        <is>
          <t>G4</t>
        </is>
      </c>
      <c r="E16">
        <v>7.8</v>
      </c>
      <c r="F16">
        <v>7.2</v>
      </c>
      <c r="G16">
        <v>8.4</v>
      </c>
      <c r="H16">
        <v>8.5</v>
      </c>
      <c r="I16">
        <v>87</v>
      </c>
      <c r="J16">
        <v>0</v>
      </c>
      <c r="K16">
        <f>MAX(0,MIN(10,ROUND(E16*0.20+F16*0.25+G16*0.25+H16*0.25+I16/100*0.50-J16*0.15,1)))</f>
        <v>8.0</v>
      </c>
      <c r="L16" t="str">
        <f>IF(K16&gt;=5,"Apto","No apto")</f>
        <v>Apto</v>
      </c>
      <c r="M16" t="inlineStr">
        <is>
          <t>Progreso estable; conviene reforzar la parte teórica.</t>
        </is>
      </c>
    </row>
    <row r="17">
      <c r="A17" t="inlineStr">
        <is>
          <t>ALU-004</t>
        </is>
      </c>
      <c r="B17" t="inlineStr">
        <is>
          <t>Daniel García</t>
        </is>
      </c>
      <c r="C17" t="inlineStr">
        <is>
          <t>Cálculo Numérico</t>
        </is>
      </c>
      <c r="D17" t="inlineStr">
        <is>
          <t>G1</t>
        </is>
      </c>
      <c r="E17">
        <v>4.0</v>
      </c>
      <c r="F17">
        <v>3.4</v>
      </c>
      <c r="G17">
        <v>3.9</v>
      </c>
      <c r="H17">
        <v>3.9</v>
      </c>
      <c r="I17">
        <v>79</v>
      </c>
      <c r="J17">
        <v>0</v>
      </c>
      <c r="K17">
        <f>MAX(0,MIN(10,ROUND(E17*0.20+F17*0.25+G17*0.25+H17*0.25+I17/100*0.50-J17*0.15,1)))</f>
        <v>4.0</v>
      </c>
      <c r="L17" t="str">
        <f>IF(K17&gt;=5,"Apto","No apto")</f>
        <v>No apto</v>
      </c>
      <c r="M17" t="inlineStr">
        <is>
          <t>Debe rehacer ejercicios base antes de la convocatoria final.</t>
        </is>
      </c>
    </row>
    <row r="18">
      <c r="A18" t="inlineStr">
        <is>
          <t>ALU-004</t>
        </is>
      </c>
      <c r="B18" t="inlineStr">
        <is>
          <t>Daniel García</t>
        </is>
      </c>
      <c r="C18" t="inlineStr">
        <is>
          <t>Sistemas Digitales</t>
        </is>
      </c>
      <c r="D18" t="inlineStr">
        <is>
          <t>G2</t>
        </is>
      </c>
      <c r="E18">
        <v>3.2</v>
      </c>
      <c r="F18">
        <v>3.3</v>
      </c>
      <c r="G18">
        <v>3.8</v>
      </c>
      <c r="H18">
        <v>4.0</v>
      </c>
      <c r="I18">
        <v>90</v>
      </c>
      <c r="J18">
        <v>0</v>
      </c>
      <c r="K18">
        <f>MAX(0,MIN(10,ROUND(E18*0.20+F18*0.25+G18*0.25+H18*0.25+I18/100*0.50-J18*0.15,1)))</f>
        <v>3.9</v>
      </c>
      <c r="L18" t="str">
        <f>IF(K18&gt;=5,"Apto","No apto")</f>
        <v>No apto</v>
      </c>
      <c r="M18" t="inlineStr">
        <is>
          <t>No consolida los mínimos del segundo bloque.</t>
        </is>
      </c>
    </row>
    <row r="19">
      <c r="A19" t="inlineStr">
        <is>
          <t>ALU-004</t>
        </is>
      </c>
      <c r="B19" t="inlineStr">
        <is>
          <t>Daniel García</t>
        </is>
      </c>
      <c r="C19" t="inlineStr">
        <is>
          <t>Termodinámica Aplicada</t>
        </is>
      </c>
      <c r="D19" t="inlineStr">
        <is>
          <t>G3</t>
        </is>
      </c>
      <c r="E19">
        <v>1.8</v>
      </c>
      <c r="F19">
        <v>1.5</v>
      </c>
      <c r="G19">
        <v>2.5</v>
      </c>
      <c r="H19">
        <v>2.8</v>
      </c>
      <c r="I19">
        <v>82</v>
      </c>
      <c r="J19">
        <v>0</v>
      </c>
      <c r="K19">
        <f>MAX(0,MIN(10,ROUND(E19*0.20+F19*0.25+G19*0.25+H19*0.25+I19/100*0.50-J19*0.15,1)))</f>
        <v>2.5</v>
      </c>
      <c r="L19" t="str">
        <f>IF(K19&gt;=5,"Apto","No apto")</f>
        <v>No apto</v>
      </c>
      <c r="M19" t="inlineStr">
        <is>
          <t>Parciales insuficientes pese a cumplir algunas prácticas.</t>
        </is>
      </c>
    </row>
    <row r="20">
      <c r="A20" t="inlineStr">
        <is>
          <t>ALU-004</t>
        </is>
      </c>
      <c r="B20" t="inlineStr">
        <is>
          <t>Daniel García</t>
        </is>
      </c>
      <c r="C20" t="inlineStr">
        <is>
          <t>Robótica Móvil</t>
        </is>
      </c>
      <c r="D20" t="inlineStr">
        <is>
          <t>G4</t>
        </is>
      </c>
      <c r="E20">
        <v>4.6</v>
      </c>
      <c r="F20">
        <v>3.7</v>
      </c>
      <c r="G20">
        <v>4.9</v>
      </c>
      <c r="H20">
        <v>4.3</v>
      </c>
      <c r="I20">
        <v>92</v>
      </c>
      <c r="J20">
        <v>0</v>
      </c>
      <c r="K20">
        <f>MAX(0,MIN(10,ROUND(E20*0.20+F20*0.25+G20*0.25+H20*0.25+I20/100*0.50-J20*0.15,1)))</f>
        <v>4.6</v>
      </c>
      <c r="L20" t="str">
        <f>IF(K20&gt;=5,"Apto","No apto")</f>
        <v>No apto</v>
      </c>
      <c r="M20" t="inlineStr">
        <is>
          <t>Parciales insuficientes pese a cumplir algunas prácticas.</t>
        </is>
      </c>
    </row>
    <row r="21">
      <c r="A21" t="inlineStr">
        <is>
          <t>ALU-004</t>
        </is>
      </c>
      <c r="B21" t="inlineStr">
        <is>
          <t>Daniel García</t>
        </is>
      </c>
      <c r="C21" t="inlineStr">
        <is>
          <t>Redes Industriales</t>
        </is>
      </c>
      <c r="D21" t="inlineStr">
        <is>
          <t>G1</t>
        </is>
      </c>
      <c r="E21">
        <v>0.3</v>
      </c>
      <c r="F21">
        <v>2.5</v>
      </c>
      <c r="G21">
        <v>4.7</v>
      </c>
      <c r="H21">
        <v>2.7</v>
      </c>
      <c r="I21">
        <v>79</v>
      </c>
      <c r="J21">
        <v>1</v>
      </c>
      <c r="K21">
        <f>MAX(0,MIN(10,ROUND(E21*0.20+F21*0.25+G21*0.25+H21*0.25+I21/100*0.50-J21*0.15,1)))</f>
        <v>2.8</v>
      </c>
      <c r="L21" t="str">
        <f>IF(K21&gt;=5,"Apto","No apto")</f>
        <v>No apto</v>
      </c>
      <c r="M21" t="inlineStr">
        <is>
          <t>Tiene una práctica no evaluada por entrega fuera de plazo.</t>
        </is>
      </c>
    </row>
    <row r="22">
      <c r="A22" t="inlineStr">
        <is>
          <t>ALU-005</t>
        </is>
      </c>
      <c r="B22" t="inlineStr">
        <is>
          <t>Marina López</t>
        </is>
      </c>
      <c r="C22" t="inlineStr">
        <is>
          <t>Cálculo Numérico</t>
        </is>
      </c>
      <c r="D22" t="inlineStr">
        <is>
          <t>G2</t>
        </is>
      </c>
      <c r="E22">
        <v>6.2</v>
      </c>
      <c r="F22">
        <v>5.9</v>
      </c>
      <c r="G22">
        <v>5.4</v>
      </c>
      <c r="H22">
        <v>6.0</v>
      </c>
      <c r="I22">
        <v>86</v>
      </c>
      <c r="J22">
        <v>1</v>
      </c>
      <c r="K22">
        <f>MAX(0,MIN(10,ROUND(E22*0.20+F22*0.25+G22*0.25+H22*0.25+I22/100*0.50-J22*0.15,1)))</f>
        <v>5.8</v>
      </c>
      <c r="L22" t="str">
        <f>IF(K22&gt;=5,"Apto","No apto")</f>
        <v>Apto</v>
      </c>
      <c r="M22" t="inlineStr">
        <is>
          <t>Resultados sólidos, especialmente en proyecto.</t>
        </is>
      </c>
    </row>
    <row r="23">
      <c r="A23" t="inlineStr">
        <is>
          <t>ALU-005</t>
        </is>
      </c>
      <c r="B23" t="inlineStr">
        <is>
          <t>Marina López</t>
        </is>
      </c>
      <c r="C23" t="inlineStr">
        <is>
          <t>Sistemas Digitales</t>
        </is>
      </c>
      <c r="D23" t="inlineStr">
        <is>
          <t>G3</t>
        </is>
      </c>
      <c r="E23">
        <v>7.1</v>
      </c>
      <c r="F23">
        <v>6.5</v>
      </c>
      <c r="G23">
        <v>6.4</v>
      </c>
      <c r="H23">
        <v>6.7</v>
      </c>
      <c r="I23">
        <v>89</v>
      </c>
      <c r="J23">
        <v>1</v>
      </c>
      <c r="K23">
        <f>MAX(0,MIN(10,ROUND(E23*0.20+F23*0.25+G23*0.25+H23*0.25+I23/100*0.50-J23*0.15,1)))</f>
        <v>6.6</v>
      </c>
      <c r="L23" t="str">
        <f>IF(K23&gt;=5,"Apto","No apto")</f>
        <v>Apto</v>
      </c>
      <c r="M23" t="inlineStr">
        <is>
          <t>Buen trabajo en prácticas, con margen en la argumentación.</t>
        </is>
      </c>
    </row>
    <row r="24">
      <c r="A24" t="inlineStr">
        <is>
          <t>ALU-005</t>
        </is>
      </c>
      <c r="B24" t="inlineStr">
        <is>
          <t>Marina López</t>
        </is>
      </c>
      <c r="C24" t="inlineStr">
        <is>
          <t>Termodinámica Aplicada</t>
        </is>
      </c>
      <c r="D24" t="inlineStr">
        <is>
          <t>G4</t>
        </is>
      </c>
      <c r="E24">
        <v>4.8</v>
      </c>
      <c r="F24">
        <v>5.7</v>
      </c>
      <c r="G24">
        <v>5.3</v>
      </c>
      <c r="H24">
        <v>4.5</v>
      </c>
      <c r="I24">
        <v>90</v>
      </c>
      <c r="J24">
        <v>1</v>
      </c>
      <c r="K24">
        <f>MAX(0,MIN(10,ROUND(E24*0.20+F24*0.25+G24*0.25+H24*0.25+I24/100*0.50-J24*0.15,1)))</f>
        <v>5.1</v>
      </c>
      <c r="L24" t="str">
        <f>IF(K24&gt;=5,"Apto","No apto")</f>
        <v>Apto</v>
      </c>
      <c r="M24" t="inlineStr">
        <is>
          <t>Buen trabajo en prácticas, con margen en la argumentación.</t>
        </is>
      </c>
    </row>
    <row r="25">
      <c r="A25" t="inlineStr">
        <is>
          <t>ALU-005</t>
        </is>
      </c>
      <c r="B25" t="inlineStr">
        <is>
          <t>Marina López</t>
        </is>
      </c>
      <c r="C25" t="inlineStr">
        <is>
          <t>Robótica Móvil</t>
        </is>
      </c>
      <c r="D25" t="inlineStr">
        <is>
          <t>G1</t>
        </is>
      </c>
      <c r="E25">
        <v>7.8</v>
      </c>
      <c r="F25">
        <v>6.4</v>
      </c>
      <c r="G25">
        <v>6.4</v>
      </c>
      <c r="H25">
        <v>8.4</v>
      </c>
      <c r="I25">
        <v>80</v>
      </c>
      <c r="J25">
        <v>0</v>
      </c>
      <c r="K25">
        <f>MAX(0,MIN(10,ROUND(E25*0.20+F25*0.25+G25*0.25+H25*0.25+I25/100*0.50-J25*0.15,1)))</f>
        <v>7.3</v>
      </c>
      <c r="L25" t="str">
        <f>IF(K25&gt;=5,"Apto","No apto")</f>
        <v>Apto</v>
      </c>
      <c r="M25" t="inlineStr">
        <is>
          <t>Mejora clara respecto al primer parcial.</t>
        </is>
      </c>
    </row>
    <row r="26">
      <c r="A26" t="inlineStr">
        <is>
          <t>ALU-005</t>
        </is>
      </c>
      <c r="B26" t="inlineStr">
        <is>
          <t>Marina López</t>
        </is>
      </c>
      <c r="C26" t="inlineStr">
        <is>
          <t>Redes Industriales</t>
        </is>
      </c>
      <c r="D26" t="inlineStr">
        <is>
          <t>G2</t>
        </is>
      </c>
      <c r="E26">
        <v>6.8</v>
      </c>
      <c r="F26">
        <v>6.9</v>
      </c>
      <c r="G26">
        <v>6.7</v>
      </c>
      <c r="H26">
        <v>6.5</v>
      </c>
      <c r="I26">
        <v>88</v>
      </c>
      <c r="J26">
        <v>0</v>
      </c>
      <c r="K26">
        <f>MAX(0,MIN(10,ROUND(E26*0.20+F26*0.25+G26*0.25+H26*0.25+I26/100*0.50-J26*0.15,1)))</f>
        <v>6.8</v>
      </c>
      <c r="L26" t="str">
        <f>IF(K26&gt;=5,"Apto","No apto")</f>
        <v>Apto</v>
      </c>
      <c r="M26" t="inlineStr">
        <is>
          <t>Buen trabajo en prácticas, con margen en la argumentación.</t>
        </is>
      </c>
    </row>
    <row r="27">
      <c r="A27" t="inlineStr">
        <is>
          <t>ALU-006</t>
        </is>
      </c>
      <c r="B27" t="inlineStr">
        <is>
          <t>Álvaro Sánchez</t>
        </is>
      </c>
      <c r="C27" t="inlineStr">
        <is>
          <t>Cálculo Numérico</t>
        </is>
      </c>
      <c r="D27" t="inlineStr">
        <is>
          <t>G3</t>
        </is>
      </c>
      <c r="E27">
        <v>6.0</v>
      </c>
      <c r="F27">
        <v>4.8</v>
      </c>
      <c r="G27">
        <v>6.8</v>
      </c>
      <c r="H27">
        <v>6.0</v>
      </c>
      <c r="I27">
        <v>91</v>
      </c>
      <c r="J27">
        <v>0</v>
      </c>
      <c r="K27">
        <f>MAX(0,MIN(10,ROUND(E27*0.20+F27*0.25+G27*0.25+H27*0.25+I27/100*0.50-J27*0.15,1)))</f>
        <v>6.1</v>
      </c>
      <c r="L27" t="str">
        <f>IF(K27&gt;=5,"Apto","No apto")</f>
        <v>Apto</v>
      </c>
      <c r="M27" t="inlineStr">
        <is>
          <t>Buen trabajo en prácticas, con margen en la argumentación.</t>
        </is>
      </c>
    </row>
    <row r="28">
      <c r="A28" t="inlineStr">
        <is>
          <t>ALU-006</t>
        </is>
      </c>
      <c r="B28" t="inlineStr">
        <is>
          <t>Álvaro Sánchez</t>
        </is>
      </c>
      <c r="C28" t="inlineStr">
        <is>
          <t>Sistemas Digitales</t>
        </is>
      </c>
      <c r="D28" t="inlineStr">
        <is>
          <t>G4</t>
        </is>
      </c>
      <c r="E28">
        <v>6.8</v>
      </c>
      <c r="F28">
        <v>7.0</v>
      </c>
      <c r="G28">
        <v>7.8</v>
      </c>
      <c r="H28">
        <v>7.2</v>
      </c>
      <c r="I28">
        <v>97</v>
      </c>
      <c r="J28">
        <v>0</v>
      </c>
      <c r="K28">
        <f>MAX(0,MIN(10,ROUND(E28*0.20+F28*0.25+G28*0.25+H28*0.25+I28/100*0.50-J28*0.15,1)))</f>
        <v>7.3</v>
      </c>
      <c r="L28" t="str">
        <f>IF(K28&gt;=5,"Apto","No apto")</f>
        <v>Apto</v>
      </c>
      <c r="M28" t="inlineStr">
        <is>
          <t>Buen trabajo en prácticas, con margen en la argumentación.</t>
        </is>
      </c>
    </row>
    <row r="29">
      <c r="A29" t="inlineStr">
        <is>
          <t>ALU-006</t>
        </is>
      </c>
      <c r="B29" t="inlineStr">
        <is>
          <t>Álvaro Sánchez</t>
        </is>
      </c>
      <c r="C29" t="inlineStr">
        <is>
          <t>Termodinámica Aplicada</t>
        </is>
      </c>
      <c r="D29" t="inlineStr">
        <is>
          <t>G1</t>
        </is>
      </c>
      <c r="E29">
        <v>5.5</v>
      </c>
      <c r="F29">
        <v>6.2</v>
      </c>
      <c r="G29">
        <v>5.2</v>
      </c>
      <c r="H29">
        <v>5.2</v>
      </c>
      <c r="I29">
        <v>100</v>
      </c>
      <c r="J29">
        <v>0</v>
      </c>
      <c r="K29">
        <f>MAX(0,MIN(10,ROUND(E29*0.20+F29*0.25+G29*0.25+H29*0.25+I29/100*0.50-J29*0.15,1)))</f>
        <v>5.8</v>
      </c>
      <c r="L29" t="str">
        <f>IF(K29&gt;=5,"Apto","No apto")</f>
        <v>Apto</v>
      </c>
      <c r="M29" t="inlineStr">
        <is>
          <t>Resultados sólidos, especialmente en proyecto.</t>
        </is>
      </c>
    </row>
    <row r="30">
      <c r="A30" t="inlineStr">
        <is>
          <t>ALU-006</t>
        </is>
      </c>
      <c r="B30" t="inlineStr">
        <is>
          <t>Álvaro Sánchez</t>
        </is>
      </c>
      <c r="C30" t="inlineStr">
        <is>
          <t>Robótica Móvil</t>
        </is>
      </c>
      <c r="D30" t="inlineStr">
        <is>
          <t>G2</t>
        </is>
      </c>
      <c r="E30">
        <v>7.1</v>
      </c>
      <c r="F30">
        <v>7.7</v>
      </c>
      <c r="G30">
        <v>6.4</v>
      </c>
      <c r="H30">
        <v>7.7</v>
      </c>
      <c r="I30">
        <v>100</v>
      </c>
      <c r="J30">
        <v>0</v>
      </c>
      <c r="K30">
        <f>MAX(0,MIN(10,ROUND(E30*0.20+F30*0.25+G30*0.25+H30*0.25+I30/100*0.50-J30*0.15,1)))</f>
        <v>7.4</v>
      </c>
      <c r="L30" t="str">
        <f>IF(K30&gt;=5,"Apto","No apto")</f>
        <v>Apto</v>
      </c>
      <c r="M30" t="inlineStr">
        <is>
          <t>Rendimiento irregular: muy dependiente de la evaluación continua.</t>
        </is>
      </c>
    </row>
    <row r="31">
      <c r="A31" t="inlineStr">
        <is>
          <t>ALU-006</t>
        </is>
      </c>
      <c r="B31" t="inlineStr">
        <is>
          <t>Álvaro Sánchez</t>
        </is>
      </c>
      <c r="C31" t="inlineStr">
        <is>
          <t>Redes Industriales</t>
        </is>
      </c>
      <c r="D31" t="inlineStr">
        <is>
          <t>G3</t>
        </is>
      </c>
      <c r="E31">
        <v>6.8</v>
      </c>
      <c r="F31">
        <v>6.0</v>
      </c>
      <c r="G31">
        <v>7.4</v>
      </c>
      <c r="H31">
        <v>6.7</v>
      </c>
      <c r="I31">
        <v>94</v>
      </c>
      <c r="J31">
        <v>0</v>
      </c>
      <c r="K31">
        <f>MAX(0,MIN(10,ROUND(E31*0.20+F31*0.25+G31*0.25+H31*0.25+I31/100*0.50-J31*0.15,1)))</f>
        <v>6.9</v>
      </c>
      <c r="L31" t="str">
        <f>IF(K31&gt;=5,"Apto","No apto")</f>
        <v>Apto</v>
      </c>
      <c r="M31" t="inlineStr">
        <is>
          <t>Mejora clara respecto al primer parcial.</t>
        </is>
      </c>
    </row>
    <row r="32">
      <c r="A32" t="inlineStr">
        <is>
          <t>ALU-007</t>
        </is>
      </c>
      <c r="B32" t="inlineStr">
        <is>
          <t>Carmen Ortega</t>
        </is>
      </c>
      <c r="C32" t="inlineStr">
        <is>
          <t>Cálculo Numérico</t>
        </is>
      </c>
      <c r="D32" t="inlineStr">
        <is>
          <t>G4</t>
        </is>
      </c>
      <c r="E32">
        <v>5.3</v>
      </c>
      <c r="F32">
        <v>5.2</v>
      </c>
      <c r="G32">
        <v>5.9</v>
      </c>
      <c r="H32">
        <v>3.8</v>
      </c>
      <c r="I32">
        <v>82</v>
      </c>
      <c r="J32">
        <v>0</v>
      </c>
      <c r="K32">
        <f>MAX(0,MIN(10,ROUND(E32*0.20+F32*0.25+G32*0.25+H32*0.25+I32/100*0.50-J32*0.15,1)))</f>
        <v>5.2</v>
      </c>
      <c r="L32" t="str">
        <f>IF(K32&gt;=5,"Apto","No apto")</f>
        <v>Apto</v>
      </c>
      <c r="M32" t="inlineStr">
        <is>
          <t>Mejora clara respecto al primer parcial.</t>
        </is>
      </c>
    </row>
    <row r="33">
      <c r="A33" t="inlineStr">
        <is>
          <t>ALU-007</t>
        </is>
      </c>
      <c r="B33" t="inlineStr">
        <is>
          <t>Carmen Ortega</t>
        </is>
      </c>
      <c r="C33" t="inlineStr">
        <is>
          <t>Sistemas Digitales</t>
        </is>
      </c>
      <c r="D33" t="inlineStr">
        <is>
          <t>G1</t>
        </is>
      </c>
      <c r="E33">
        <v>7.0</v>
      </c>
      <c r="F33">
        <v>7.3</v>
      </c>
      <c r="G33">
        <v>6.0</v>
      </c>
      <c r="H33">
        <v>6.4</v>
      </c>
      <c r="I33">
        <v>80</v>
      </c>
      <c r="J33">
        <v>0</v>
      </c>
      <c r="K33">
        <f>MAX(0,MIN(10,ROUND(E33*0.20+F33*0.25+G33*0.25+H33*0.25+I33/100*0.50-J33*0.15,1)))</f>
        <v>6.7</v>
      </c>
      <c r="L33" t="str">
        <f>IF(K33&gt;=5,"Apto","No apto")</f>
        <v>Apto</v>
      </c>
      <c r="M33" t="inlineStr">
        <is>
          <t>Mejora clara respecto al primer parcial.</t>
        </is>
      </c>
    </row>
    <row r="34">
      <c r="A34" t="inlineStr">
        <is>
          <t>ALU-007</t>
        </is>
      </c>
      <c r="B34" t="inlineStr">
        <is>
          <t>Carmen Ortega</t>
        </is>
      </c>
      <c r="C34" t="inlineStr">
        <is>
          <t>Termodinámica Aplicada</t>
        </is>
      </c>
      <c r="D34" t="inlineStr">
        <is>
          <t>G2</t>
        </is>
      </c>
      <c r="E34">
        <v>5.9</v>
      </c>
      <c r="F34">
        <v>4.6</v>
      </c>
      <c r="G34">
        <v>5.1</v>
      </c>
      <c r="H34">
        <v>5.4</v>
      </c>
      <c r="I34">
        <v>66</v>
      </c>
      <c r="J34">
        <v>1</v>
      </c>
      <c r="K34">
        <f>MAX(0,MIN(10,ROUND(E34*0.20+F34*0.25+G34*0.25+H34*0.25+I34/100*0.50-J34*0.15,1)))</f>
        <v>5.1</v>
      </c>
      <c r="L34" t="str">
        <f>IF(K34&gt;=5,"Apto","No apto")</f>
        <v>Apto</v>
      </c>
      <c r="M34" t="inlineStr">
        <is>
          <t>Conviene seguimiento en tutoría antes del cierre de actas.</t>
        </is>
      </c>
    </row>
    <row r="35">
      <c r="A35" t="inlineStr">
        <is>
          <t>ALU-007</t>
        </is>
      </c>
      <c r="B35" t="inlineStr">
        <is>
          <t>Carmen Ortega</t>
        </is>
      </c>
      <c r="C35" t="inlineStr">
        <is>
          <t>Robótica Móvil</t>
        </is>
      </c>
      <c r="D35" t="inlineStr">
        <is>
          <t>G3</t>
        </is>
      </c>
      <c r="E35">
        <v>6.2</v>
      </c>
      <c r="F35">
        <v>5.4</v>
      </c>
      <c r="G35">
        <v>5.6</v>
      </c>
      <c r="H35">
        <v>6.1</v>
      </c>
      <c r="I35">
        <v>87</v>
      </c>
      <c r="J35">
        <v>1</v>
      </c>
      <c r="K35">
        <f>MAX(0,MIN(10,ROUND(E35*0.20+F35*0.25+G35*0.25+H35*0.25+I35/100*0.50-J35*0.15,1)))</f>
        <v>5.8</v>
      </c>
      <c r="L35" t="str">
        <f>IF(K35&gt;=5,"Apto","No apto")</f>
        <v>Apto</v>
      </c>
      <c r="M35" t="inlineStr">
        <is>
          <t>Rendimiento irregular: muy dependiente de la evaluación continua.</t>
        </is>
      </c>
    </row>
    <row r="36">
      <c r="A36" t="inlineStr">
        <is>
          <t>ALU-007</t>
        </is>
      </c>
      <c r="B36" t="inlineStr">
        <is>
          <t>Carmen Ortega</t>
        </is>
      </c>
      <c r="C36" t="inlineStr">
        <is>
          <t>Redes Industriales</t>
        </is>
      </c>
      <c r="D36" t="inlineStr">
        <is>
          <t>G4</t>
        </is>
      </c>
      <c r="E36">
        <v>6.8</v>
      </c>
      <c r="F36">
        <v>7.8</v>
      </c>
      <c r="G36">
        <v>6.0</v>
      </c>
      <c r="H36">
        <v>6.3</v>
      </c>
      <c r="I36">
        <v>78</v>
      </c>
      <c r="J36">
        <v>0</v>
      </c>
      <c r="K36">
        <f>MAX(0,MIN(10,ROUND(E36*0.20+F36*0.25+G36*0.25+H36*0.25+I36/100*0.50-J36*0.15,1)))</f>
        <v>6.8</v>
      </c>
      <c r="L36" t="str">
        <f>IF(K36&gt;=5,"Apto","No apto")</f>
        <v>Apto</v>
      </c>
      <c r="M36" t="inlineStr">
        <is>
          <t>Participa de forma regular y entrega con calidad suficiente.</t>
        </is>
      </c>
    </row>
    <row r="37">
      <c r="A37" t="inlineStr">
        <is>
          <t>ALU-008</t>
        </is>
      </c>
      <c r="B37" t="inlineStr">
        <is>
          <t>Diego Molina</t>
        </is>
      </c>
      <c r="C37" t="inlineStr">
        <is>
          <t>Cálculo Numérico</t>
        </is>
      </c>
      <c r="D37" t="inlineStr">
        <is>
          <t>G1</t>
        </is>
      </c>
      <c r="E37">
        <v>4.4</v>
      </c>
      <c r="F37">
        <v>4.6</v>
      </c>
      <c r="G37">
        <v>5.7</v>
      </c>
      <c r="H37">
        <v>4.9</v>
      </c>
      <c r="I37">
        <v>95</v>
      </c>
      <c r="J37">
        <v>0</v>
      </c>
      <c r="K37">
        <f>MAX(0,MIN(10,ROUND(E37*0.20+F37*0.25+G37*0.25+H37*0.25+I37/100*0.50-J37*0.15,1)))</f>
        <v>5.2</v>
      </c>
      <c r="L37" t="str">
        <f>IF(K37&gt;=5,"Apto","No apto")</f>
        <v>Apto</v>
      </c>
      <c r="M37" t="inlineStr">
        <is>
          <t>Progreso estable; conviene reforzar la parte teórica.</t>
        </is>
      </c>
    </row>
    <row r="38">
      <c r="A38" t="inlineStr">
        <is>
          <t>ALU-008</t>
        </is>
      </c>
      <c r="B38" t="inlineStr">
        <is>
          <t>Diego Molina</t>
        </is>
      </c>
      <c r="C38" t="inlineStr">
        <is>
          <t>Sistemas Digitales</t>
        </is>
      </c>
      <c r="D38" t="inlineStr">
        <is>
          <t>G2</t>
        </is>
      </c>
      <c r="E38">
        <v>6.1</v>
      </c>
      <c r="F38">
        <v>5.5</v>
      </c>
      <c r="G38">
        <v>6.6</v>
      </c>
      <c r="H38">
        <v>6.1</v>
      </c>
      <c r="I38">
        <v>100</v>
      </c>
      <c r="J38">
        <v>0</v>
      </c>
      <c r="K38">
        <f>MAX(0,MIN(10,ROUND(E38*0.20+F38*0.25+G38*0.25+H38*0.25+I38/100*0.50-J38*0.15,1)))</f>
        <v>6.3</v>
      </c>
      <c r="L38" t="str">
        <f>IF(K38&gt;=5,"Apto","No apto")</f>
        <v>Apto</v>
      </c>
      <c r="M38" t="inlineStr">
        <is>
          <t>Participa de forma regular y entrega con calidad suficiente.</t>
        </is>
      </c>
    </row>
    <row r="39">
      <c r="A39" t="inlineStr">
        <is>
          <t>ALU-008</t>
        </is>
      </c>
      <c r="B39" t="inlineStr">
        <is>
          <t>Diego Molina</t>
        </is>
      </c>
      <c r="C39" t="inlineStr">
        <is>
          <t>Termodinámica Aplicada</t>
        </is>
      </c>
      <c r="D39" t="inlineStr">
        <is>
          <t>G3</t>
        </is>
      </c>
      <c r="E39">
        <v>4.6</v>
      </c>
      <c r="F39">
        <v>3.7</v>
      </c>
      <c r="G39">
        <v>4.0</v>
      </c>
      <c r="H39">
        <v>3.7</v>
      </c>
      <c r="I39">
        <v>89</v>
      </c>
      <c r="J39">
        <v>1</v>
      </c>
      <c r="K39">
        <f>MAX(0,MIN(10,ROUND(E39*0.20+F39*0.25+G39*0.25+H39*0.25+I39/100*0.50-J39*0.15,1)))</f>
        <v>4.1</v>
      </c>
      <c r="L39" t="str">
        <f>IF(K39&gt;=5,"Apto","No apto")</f>
        <v>No apto</v>
      </c>
      <c r="M39" t="inlineStr">
        <is>
          <t>Asistencia baja y entregas incompletas afectan a la nota.</t>
        </is>
      </c>
    </row>
    <row r="40">
      <c r="A40" t="inlineStr">
        <is>
          <t>ALU-008</t>
        </is>
      </c>
      <c r="B40" t="inlineStr">
        <is>
          <t>Diego Molina</t>
        </is>
      </c>
      <c r="C40" t="inlineStr">
        <is>
          <t>Robótica Móvil</t>
        </is>
      </c>
      <c r="D40" t="inlineStr">
        <is>
          <t>G4</t>
        </is>
      </c>
      <c r="E40">
        <v>6.0</v>
      </c>
      <c r="F40">
        <v>5.6</v>
      </c>
      <c r="G40">
        <v>6.4</v>
      </c>
      <c r="H40">
        <v>6.6</v>
      </c>
      <c r="I40">
        <v>99</v>
      </c>
      <c r="J40">
        <v>1</v>
      </c>
      <c r="K40">
        <f>MAX(0,MIN(10,ROUND(E40*0.20+F40*0.25+G40*0.25+H40*0.25+I40/100*0.50-J40*0.15,1)))</f>
        <v>6.2</v>
      </c>
      <c r="L40" t="str">
        <f>IF(K40&gt;=5,"Apto","No apto")</f>
        <v>Apto</v>
      </c>
      <c r="M40" t="inlineStr">
        <is>
          <t>Resultados sólidos, especialmente en proyecto.</t>
        </is>
      </c>
    </row>
    <row r="41">
      <c r="A41" t="inlineStr">
        <is>
          <t>ALU-008</t>
        </is>
      </c>
      <c r="B41" t="inlineStr">
        <is>
          <t>Diego Molina</t>
        </is>
      </c>
      <c r="C41" t="inlineStr">
        <is>
          <t>Redes Industriales</t>
        </is>
      </c>
      <c r="D41" t="inlineStr">
        <is>
          <t>G1</t>
        </is>
      </c>
      <c r="E41">
        <v>5.8</v>
      </c>
      <c r="F41">
        <v>5.1</v>
      </c>
      <c r="G41">
        <v>5.7</v>
      </c>
      <c r="H41">
        <v>5.1</v>
      </c>
      <c r="I41">
        <v>100</v>
      </c>
      <c r="J41">
        <v>0</v>
      </c>
      <c r="K41">
        <f>MAX(0,MIN(10,ROUND(E41*0.20+F41*0.25+G41*0.25+H41*0.25+I41/100*0.50-J41*0.15,1)))</f>
        <v>5.6</v>
      </c>
      <c r="L41" t="str">
        <f>IF(K41&gt;=5,"Apto","No apto")</f>
        <v>Apto</v>
      </c>
      <c r="M41" t="inlineStr">
        <is>
          <t>Rendimiento irregular: muy dependiente de la evaluación continua.</t>
        </is>
      </c>
    </row>
    <row r="42">
      <c r="A42" t="inlineStr">
        <is>
          <t>ALU-009</t>
        </is>
      </c>
      <c r="B42" t="inlineStr">
        <is>
          <t>Elena Domínguez</t>
        </is>
      </c>
      <c r="C42" t="inlineStr">
        <is>
          <t>Cálculo Numérico</t>
        </is>
      </c>
      <c r="D42" t="inlineStr">
        <is>
          <t>G2</t>
        </is>
      </c>
      <c r="E42">
        <v>6.3</v>
      </c>
      <c r="F42">
        <v>5.7</v>
      </c>
      <c r="G42">
        <v>6.0</v>
      </c>
      <c r="H42">
        <v>7.0</v>
      </c>
      <c r="I42">
        <v>83</v>
      </c>
      <c r="J42">
        <v>0</v>
      </c>
      <c r="K42">
        <f>MAX(0,MIN(10,ROUND(E42*0.20+F42*0.25+G42*0.25+H42*0.25+I42/100*0.50-J42*0.15,1)))</f>
        <v>6.4</v>
      </c>
      <c r="L42" t="str">
        <f>IF(K42&gt;=5,"Apto","No apto")</f>
        <v>Apto</v>
      </c>
      <c r="M42" t="inlineStr">
        <is>
          <t>Progreso estable; conviene reforzar la parte teórica.</t>
        </is>
      </c>
    </row>
    <row r="43">
      <c r="A43" t="inlineStr">
        <is>
          <t>ALU-009</t>
        </is>
      </c>
      <c r="B43" t="inlineStr">
        <is>
          <t>Elena Domínguez</t>
        </is>
      </c>
      <c r="C43" t="inlineStr">
        <is>
          <t>Sistemas Digitales</t>
        </is>
      </c>
      <c r="D43" t="inlineStr">
        <is>
          <t>G3</t>
        </is>
      </c>
      <c r="E43">
        <v>7.6</v>
      </c>
      <c r="F43">
        <v>7.2</v>
      </c>
      <c r="G43">
        <v>6.8</v>
      </c>
      <c r="H43">
        <v>6.9</v>
      </c>
      <c r="I43">
        <v>78</v>
      </c>
      <c r="J43">
        <v>0</v>
      </c>
      <c r="K43">
        <f>MAX(0,MIN(10,ROUND(E43*0.20+F43*0.25+G43*0.25+H43*0.25+I43/100*0.50-J43*0.15,1)))</f>
        <v>7.1</v>
      </c>
      <c r="L43" t="str">
        <f>IF(K43&gt;=5,"Apto","No apto")</f>
        <v>Apto</v>
      </c>
      <c r="M43" t="inlineStr">
        <is>
          <t>Rendimiento irregular: muy dependiente de la evaluación continua.</t>
        </is>
      </c>
    </row>
    <row r="44">
      <c r="A44" t="inlineStr">
        <is>
          <t>ALU-009</t>
        </is>
      </c>
      <c r="B44" t="inlineStr">
        <is>
          <t>Elena Domínguez</t>
        </is>
      </c>
      <c r="C44" t="inlineStr">
        <is>
          <t>Termodinámica Aplicada</t>
        </is>
      </c>
      <c r="D44" t="inlineStr">
        <is>
          <t>G4</t>
        </is>
      </c>
      <c r="E44">
        <v>5.9</v>
      </c>
      <c r="F44">
        <v>4.7</v>
      </c>
      <c r="G44">
        <v>6.3</v>
      </c>
      <c r="H44">
        <v>5.3</v>
      </c>
      <c r="I44">
        <v>90</v>
      </c>
      <c r="J44">
        <v>1</v>
      </c>
      <c r="K44">
        <f>MAX(0,MIN(10,ROUND(E44*0.20+F44*0.25+G44*0.25+H44*0.25+I44/100*0.50-J44*0.15,1)))</f>
        <v>5.6</v>
      </c>
      <c r="L44" t="str">
        <f>IF(K44&gt;=5,"Apto","No apto")</f>
        <v>Apto</v>
      </c>
      <c r="M44" t="inlineStr">
        <is>
          <t>Mejora clara respecto al primer parcial.</t>
        </is>
      </c>
    </row>
    <row r="45">
      <c r="A45" t="inlineStr">
        <is>
          <t>ALU-009</t>
        </is>
      </c>
      <c r="B45" t="inlineStr">
        <is>
          <t>Elena Domínguez</t>
        </is>
      </c>
      <c r="C45" t="inlineStr">
        <is>
          <t>Robótica Móvil</t>
        </is>
      </c>
      <c r="D45" t="inlineStr">
        <is>
          <t>G1</t>
        </is>
      </c>
      <c r="E45">
        <v>8.0</v>
      </c>
      <c r="F45">
        <v>6.6</v>
      </c>
      <c r="G45">
        <v>7.1</v>
      </c>
      <c r="H45">
        <v>8.1</v>
      </c>
      <c r="I45">
        <v>97</v>
      </c>
      <c r="J45">
        <v>0</v>
      </c>
      <c r="K45">
        <f>MAX(0,MIN(10,ROUND(E45*0.20+F45*0.25+G45*0.25+H45*0.25+I45/100*0.50-J45*0.15,1)))</f>
        <v>7.5</v>
      </c>
      <c r="L45" t="str">
        <f>IF(K45&gt;=5,"Apto","No apto")</f>
        <v>Apto</v>
      </c>
      <c r="M45" t="inlineStr">
        <is>
          <t>Mejora clara respecto al primer parcial.</t>
        </is>
      </c>
    </row>
    <row r="46">
      <c r="A46" t="inlineStr">
        <is>
          <t>ALU-009</t>
        </is>
      </c>
      <c r="B46" t="inlineStr">
        <is>
          <t>Elena Domínguez</t>
        </is>
      </c>
      <c r="C46" t="inlineStr">
        <is>
          <t>Redes Industriales</t>
        </is>
      </c>
      <c r="D46" t="inlineStr">
        <is>
          <t>G2</t>
        </is>
      </c>
      <c r="E46">
        <v>7.0</v>
      </c>
      <c r="F46">
        <v>6.9</v>
      </c>
      <c r="G46">
        <v>6.3</v>
      </c>
      <c r="H46">
        <v>6.6</v>
      </c>
      <c r="I46">
        <v>94</v>
      </c>
      <c r="J46">
        <v>0</v>
      </c>
      <c r="K46">
        <f>MAX(0,MIN(10,ROUND(E46*0.20+F46*0.25+G46*0.25+H46*0.25+I46/100*0.50-J46*0.15,1)))</f>
        <v>6.8</v>
      </c>
      <c r="L46" t="str">
        <f>IF(K46&gt;=5,"Apto","No apto")</f>
        <v>Apto</v>
      </c>
      <c r="M46" t="inlineStr">
        <is>
          <t>Participa de forma regular y entrega con calidad suficiente.</t>
        </is>
      </c>
    </row>
    <row r="47">
      <c r="A47" t="inlineStr">
        <is>
          <t>ALU-010</t>
        </is>
      </c>
      <c r="B47" t="inlineStr">
        <is>
          <t>Pablo Serrano</t>
        </is>
      </c>
      <c r="C47" t="inlineStr">
        <is>
          <t>Cálculo Numérico</t>
        </is>
      </c>
      <c r="D47" t="inlineStr">
        <is>
          <t>G3</t>
        </is>
      </c>
      <c r="E47">
        <v>7.1</v>
      </c>
      <c r="F47">
        <v>7.7</v>
      </c>
      <c r="G47">
        <v>9.6</v>
      </c>
      <c r="H47">
        <v>8.5</v>
      </c>
      <c r="I47">
        <v>89</v>
      </c>
      <c r="J47">
        <v>0</v>
      </c>
      <c r="K47">
        <f>MAX(0,MIN(10,ROUND(E47*0.20+F47*0.25+G47*0.25+H47*0.25+I47/100*0.50-J47*0.15,1)))</f>
        <v>8.3</v>
      </c>
      <c r="L47" t="str">
        <f>IF(K47&gt;=5,"Apto","No apto")</f>
        <v>Apto</v>
      </c>
      <c r="M47" t="inlineStr">
        <is>
          <t>Buen trabajo en prácticas, con margen en la argumentación.</t>
        </is>
      </c>
    </row>
    <row r="48">
      <c r="A48" t="inlineStr">
        <is>
          <t>ALU-010</t>
        </is>
      </c>
      <c r="B48" t="inlineStr">
        <is>
          <t>Pablo Serrano</t>
        </is>
      </c>
      <c r="C48" t="inlineStr">
        <is>
          <t>Sistemas Digitales</t>
        </is>
      </c>
      <c r="D48" t="inlineStr">
        <is>
          <t>G4</t>
        </is>
      </c>
      <c r="E48">
        <v>8.4</v>
      </c>
      <c r="F48">
        <v>8.6</v>
      </c>
      <c r="G48">
        <v>8.6</v>
      </c>
      <c r="H48">
        <v>9.3</v>
      </c>
      <c r="I48">
        <v>100</v>
      </c>
      <c r="J48">
        <v>1</v>
      </c>
      <c r="K48">
        <f>MAX(0,MIN(10,ROUND(E48*0.20+F48*0.25+G48*0.25+H48*0.25+I48/100*0.50-J48*0.15,1)))</f>
        <v>8.7</v>
      </c>
      <c r="L48" t="str">
        <f>IF(K48&gt;=5,"Apto","No apto")</f>
        <v>Apto</v>
      </c>
      <c r="M48" t="inlineStr">
        <is>
          <t>Proyecto muy robusto y buena trazabilidad de decisiones.</t>
        </is>
      </c>
    </row>
    <row r="49">
      <c r="A49" t="inlineStr">
        <is>
          <t>ALU-010</t>
        </is>
      </c>
      <c r="B49" t="inlineStr">
        <is>
          <t>Pablo Serrano</t>
        </is>
      </c>
      <c r="C49" t="inlineStr">
        <is>
          <t>Termodinámica Aplicada</t>
        </is>
      </c>
      <c r="D49" t="inlineStr">
        <is>
          <t>G1</t>
        </is>
      </c>
      <c r="E49">
        <v>6.4</v>
      </c>
      <c r="F49">
        <v>5.8</v>
      </c>
      <c r="G49">
        <v>6.4</v>
      </c>
      <c r="H49">
        <v>6.1</v>
      </c>
      <c r="I49">
        <v>95</v>
      </c>
      <c r="J49">
        <v>0</v>
      </c>
      <c r="K49">
        <f>MAX(0,MIN(10,ROUND(E49*0.20+F49*0.25+G49*0.25+H49*0.25+I49/100*0.50-J49*0.15,1)))</f>
        <v>6.3</v>
      </c>
      <c r="L49" t="str">
        <f>IF(K49&gt;=5,"Apto","No apto")</f>
        <v>Apto</v>
      </c>
      <c r="M49" t="inlineStr">
        <is>
          <t>Rendimiento irregular: muy dependiente de la evaluación continua.</t>
        </is>
      </c>
    </row>
    <row r="50">
      <c r="A50" t="inlineStr">
        <is>
          <t>ALU-010</t>
        </is>
      </c>
      <c r="B50" t="inlineStr">
        <is>
          <t>Pablo Serrano</t>
        </is>
      </c>
      <c r="C50" t="inlineStr">
        <is>
          <t>Robótica Móvil</t>
        </is>
      </c>
      <c r="D50" t="inlineStr">
        <is>
          <t>G2</t>
        </is>
      </c>
      <c r="E50">
        <v>9.0</v>
      </c>
      <c r="F50">
        <v>8.7</v>
      </c>
      <c r="G50">
        <v>8.9</v>
      </c>
      <c r="H50">
        <v>10.0</v>
      </c>
      <c r="I50">
        <v>92</v>
      </c>
      <c r="J50">
        <v>1</v>
      </c>
      <c r="K50">
        <f>MAX(0,MIN(10,ROUND(E50*0.20+F50*0.25+G50*0.25+H50*0.25+I50/100*0.50-J50*0.15,1)))</f>
        <v>9.0</v>
      </c>
      <c r="L50" t="str">
        <f>IF(K50&gt;=5,"Apto","No apto")</f>
        <v>Apto</v>
      </c>
      <c r="M50" t="inlineStr">
        <is>
          <t>Excelente dominio técnico y defensa oral muy clara.</t>
        </is>
      </c>
    </row>
    <row r="51">
      <c r="A51" t="inlineStr">
        <is>
          <t>ALU-010</t>
        </is>
      </c>
      <c r="B51" t="inlineStr">
        <is>
          <t>Pablo Serrano</t>
        </is>
      </c>
      <c r="C51" t="inlineStr">
        <is>
          <t>Redes Industriales</t>
        </is>
      </c>
      <c r="D51" t="inlineStr">
        <is>
          <t>G3</t>
        </is>
      </c>
      <c r="E51">
        <v>4.8</v>
      </c>
      <c r="F51">
        <v>7.8</v>
      </c>
      <c r="G51">
        <v>9.0</v>
      </c>
      <c r="H51">
        <v>7.6</v>
      </c>
      <c r="I51">
        <v>100</v>
      </c>
      <c r="J51">
        <v>0</v>
      </c>
      <c r="K51">
        <f>MAX(0,MIN(10,ROUND(E51*0.20+F51*0.25+G51*0.25+H51*0.25+I51/100*0.50-J51*0.15,1)))</f>
        <v>7.6</v>
      </c>
      <c r="L51" t="str">
        <f>IF(K51&gt;=5,"Apto","No apto")</f>
        <v>Apto</v>
      </c>
      <c r="M51" t="inlineStr">
        <is>
          <t>Pendiente de justificar una ausencia de laboratorio.</t>
        </is>
      </c>
    </row>
    <row r="52">
      <c r="A52" t="inlineStr">
        <is>
          <t>ALU-011</t>
        </is>
      </c>
      <c r="B52" t="inlineStr">
        <is>
          <t>Nuria Castro</t>
        </is>
      </c>
      <c r="C52" t="inlineStr">
        <is>
          <t>Cálculo Numérico</t>
        </is>
      </c>
      <c r="D52" t="inlineStr">
        <is>
          <t>G4</t>
        </is>
      </c>
      <c r="E52">
        <v>6.7</v>
      </c>
      <c r="F52">
        <v>6.2</v>
      </c>
      <c r="G52">
        <v>6.7</v>
      </c>
      <c r="H52">
        <v>5.4</v>
      </c>
      <c r="I52">
        <v>66</v>
      </c>
      <c r="J52">
        <v>0</v>
      </c>
      <c r="K52">
        <f>MAX(0,MIN(10,ROUND(E52*0.20+F52*0.25+G52*0.25+H52*0.25+I52/100*0.50-J52*0.15,1)))</f>
        <v>6.2</v>
      </c>
      <c r="L52" t="str">
        <f>IF(K52&gt;=5,"Apto","No apto")</f>
        <v>Apto</v>
      </c>
      <c r="M52" t="inlineStr">
        <is>
          <t>Resultados sólidos, especialmente en proyecto.</t>
        </is>
      </c>
    </row>
    <row r="53">
      <c r="A53" t="inlineStr">
        <is>
          <t>ALU-011</t>
        </is>
      </c>
      <c r="B53" t="inlineStr">
        <is>
          <t>Nuria Castro</t>
        </is>
      </c>
      <c r="C53" t="inlineStr">
        <is>
          <t>Sistemas Digitales</t>
        </is>
      </c>
      <c r="D53" t="inlineStr">
        <is>
          <t>G1</t>
        </is>
      </c>
      <c r="E53">
        <v>7.4</v>
      </c>
      <c r="F53">
        <v>6.5</v>
      </c>
      <c r="G53">
        <v>5.9</v>
      </c>
      <c r="H53">
        <v>6.1</v>
      </c>
      <c r="I53">
        <v>74</v>
      </c>
      <c r="J53">
        <v>1</v>
      </c>
      <c r="K53">
        <f>MAX(0,MIN(10,ROUND(E53*0.20+F53*0.25+G53*0.25+H53*0.25+I53/100*0.50-J53*0.15,1)))</f>
        <v>6.3</v>
      </c>
      <c r="L53" t="str">
        <f>IF(K53&gt;=5,"Apto","No apto")</f>
        <v>Apto</v>
      </c>
      <c r="M53" t="inlineStr">
        <is>
          <t>Resultados sólidos, especialmente en proyecto.</t>
        </is>
      </c>
    </row>
    <row r="54">
      <c r="A54" t="inlineStr">
        <is>
          <t>ALU-011</t>
        </is>
      </c>
      <c r="B54" t="inlineStr">
        <is>
          <t>Nuria Castro</t>
        </is>
      </c>
      <c r="C54" t="inlineStr">
        <is>
          <t>Termodinámica Aplicada</t>
        </is>
      </c>
      <c r="D54" t="inlineStr">
        <is>
          <t>G2</t>
        </is>
      </c>
      <c r="E54">
        <v>6.7</v>
      </c>
      <c r="F54">
        <v>4.5</v>
      </c>
      <c r="G54">
        <v>5.9</v>
      </c>
      <c r="H54">
        <v>4.8</v>
      </c>
      <c r="I54">
        <v>76</v>
      </c>
      <c r="J54">
        <v>0</v>
      </c>
      <c r="K54">
        <f>MAX(0,MIN(10,ROUND(E54*0.20+F54*0.25+G54*0.25+H54*0.25+I54/100*0.50-J54*0.15,1)))</f>
        <v>5.5</v>
      </c>
      <c r="L54" t="str">
        <f>IF(K54&gt;=5,"Apto","No apto")</f>
        <v>Apto</v>
      </c>
      <c r="M54" t="inlineStr">
        <is>
          <t>Rendimiento irregular: muy dependiente de la evaluación continua.</t>
        </is>
      </c>
    </row>
    <row r="55">
      <c r="A55" t="inlineStr">
        <is>
          <t>ALU-011</t>
        </is>
      </c>
      <c r="B55" t="inlineStr">
        <is>
          <t>Nuria Castro</t>
        </is>
      </c>
      <c r="C55" t="inlineStr">
        <is>
          <t>Robótica Móvil</t>
        </is>
      </c>
      <c r="D55" t="inlineStr">
        <is>
          <t>G3</t>
        </is>
      </c>
      <c r="E55">
        <v>7.0</v>
      </c>
      <c r="F55">
        <v>6.8</v>
      </c>
      <c r="G55">
        <v>7.3</v>
      </c>
      <c r="H55">
        <v>7.8</v>
      </c>
      <c r="I55">
        <v>68</v>
      </c>
      <c r="J55">
        <v>0</v>
      </c>
      <c r="K55">
        <f>MAX(0,MIN(10,ROUND(E55*0.20+F55*0.25+G55*0.25+H55*0.25+I55/100*0.50-J55*0.15,1)))</f>
        <v>7.2</v>
      </c>
      <c r="L55" t="str">
        <f>IF(K55&gt;=5,"Apto","No apto")</f>
        <v>Apto</v>
      </c>
      <c r="M55" t="inlineStr">
        <is>
          <t>Buen trabajo en prácticas, con margen en la argumentación.</t>
        </is>
      </c>
    </row>
    <row r="56">
      <c r="A56" t="inlineStr">
        <is>
          <t>ALU-011</t>
        </is>
      </c>
      <c r="B56" t="inlineStr">
        <is>
          <t>Nuria Castro</t>
        </is>
      </c>
      <c r="C56" t="inlineStr">
        <is>
          <t>Redes Industriales</t>
        </is>
      </c>
      <c r="D56" t="inlineStr">
        <is>
          <t>G4</t>
        </is>
      </c>
      <c r="E56">
        <v>7.3</v>
      </c>
      <c r="F56">
        <v>7.5</v>
      </c>
      <c r="G56">
        <v>9.7</v>
      </c>
      <c r="H56">
        <v>7.2</v>
      </c>
      <c r="I56">
        <v>69</v>
      </c>
      <c r="J56">
        <v>0</v>
      </c>
      <c r="K56">
        <f>MAX(0,MIN(10,ROUND(E56*0.20+F56*0.25+G56*0.25+H56*0.25+I56/100*0.50-J56*0.15,1)))</f>
        <v>7.9</v>
      </c>
      <c r="L56" t="str">
        <f>IF(K56&gt;=5,"Apto","No apto")</f>
        <v>Apto</v>
      </c>
      <c r="M56" t="inlineStr">
        <is>
          <t>Pendiente de justificar una ausencia de laboratorio.</t>
        </is>
      </c>
    </row>
    <row r="57">
      <c r="A57" t="inlineStr">
        <is>
          <t>ALU-012</t>
        </is>
      </c>
      <c r="B57" t="inlineStr">
        <is>
          <t>Hugo Morales</t>
        </is>
      </c>
      <c r="C57" t="inlineStr">
        <is>
          <t>Cálculo Numérico</t>
        </is>
      </c>
      <c r="D57" t="inlineStr">
        <is>
          <t>G1</t>
        </is>
      </c>
      <c r="E57">
        <v>9.5</v>
      </c>
      <c r="F57">
        <v>8.3</v>
      </c>
      <c r="G57">
        <v>8.7</v>
      </c>
      <c r="H57">
        <v>9.0</v>
      </c>
      <c r="I57">
        <v>97</v>
      </c>
      <c r="J57">
        <v>0</v>
      </c>
      <c r="K57">
        <f>MAX(0,MIN(10,ROUND(E57*0.20+F57*0.25+G57*0.25+H57*0.25+I57/100*0.50-J57*0.15,1)))</f>
        <v>8.9</v>
      </c>
      <c r="L57" t="str">
        <f>IF(K57&gt;=5,"Apto","No apto")</f>
        <v>Apto</v>
      </c>
      <c r="M57" t="inlineStr">
        <is>
          <t>Proyecto muy robusto y buena trazabilidad de decisiones.</t>
        </is>
      </c>
    </row>
    <row r="58">
      <c r="A58" t="inlineStr">
        <is>
          <t>ALU-012</t>
        </is>
      </c>
      <c r="B58" t="inlineStr">
        <is>
          <t>Hugo Morales</t>
        </is>
      </c>
      <c r="C58" t="inlineStr">
        <is>
          <t>Sistemas Digitales</t>
        </is>
      </c>
      <c r="D58" t="inlineStr">
        <is>
          <t>G2</t>
        </is>
      </c>
      <c r="E58">
        <v>9.3</v>
      </c>
      <c r="F58">
        <v>9.1</v>
      </c>
      <c r="G58">
        <v>9.7</v>
      </c>
      <c r="H58">
        <v>10.0</v>
      </c>
      <c r="I58">
        <v>86</v>
      </c>
      <c r="J58">
        <v>0</v>
      </c>
      <c r="K58">
        <f>MAX(0,MIN(10,ROUND(E58*0.20+F58*0.25+G58*0.25+H58*0.25+I58/100*0.50-J58*0.15,1)))</f>
        <v>9.5</v>
      </c>
      <c r="L58" t="str">
        <f>IF(K58&gt;=5,"Apto","No apto")</f>
        <v>Apto</v>
      </c>
      <c r="M58" t="inlineStr">
        <is>
          <t>Proyecto muy robusto y buena trazabilidad de decisiones.</t>
        </is>
      </c>
    </row>
    <row r="59">
      <c r="A59" t="inlineStr">
        <is>
          <t>ALU-012</t>
        </is>
      </c>
      <c r="B59" t="inlineStr">
        <is>
          <t>Hugo Morales</t>
        </is>
      </c>
      <c r="C59" t="inlineStr">
        <is>
          <t>Termodinámica Aplicada</t>
        </is>
      </c>
      <c r="D59" t="inlineStr">
        <is>
          <t>G3</t>
        </is>
      </c>
      <c r="E59">
        <v>7.5</v>
      </c>
      <c r="F59">
        <v>7.2</v>
      </c>
      <c r="G59">
        <v>8.2</v>
      </c>
      <c r="H59">
        <v>7.8</v>
      </c>
      <c r="I59">
        <v>74</v>
      </c>
      <c r="J59">
        <v>0</v>
      </c>
      <c r="K59">
        <f>MAX(0,MIN(10,ROUND(E59*0.20+F59*0.25+G59*0.25+H59*0.25+I59/100*0.50-J59*0.15,1)))</f>
        <v>7.7</v>
      </c>
      <c r="L59" t="str">
        <f>IF(K59&gt;=5,"Apto","No apto")</f>
        <v>Apto</v>
      </c>
      <c r="M59" t="inlineStr">
        <is>
          <t>Progreso estable; conviene reforzar la parte teórica.</t>
        </is>
      </c>
    </row>
    <row r="60">
      <c r="A60" t="inlineStr">
        <is>
          <t>ALU-012</t>
        </is>
      </c>
      <c r="B60" t="inlineStr">
        <is>
          <t>Hugo Morales</t>
        </is>
      </c>
      <c r="C60" t="inlineStr">
        <is>
          <t>Robótica Móvil</t>
        </is>
      </c>
      <c r="D60" t="inlineStr">
        <is>
          <t>G4</t>
        </is>
      </c>
      <c r="E60">
        <v>9.6</v>
      </c>
      <c r="F60">
        <v>7.6</v>
      </c>
      <c r="G60">
        <v>10.0</v>
      </c>
      <c r="H60">
        <v>10.0</v>
      </c>
      <c r="I60">
        <v>100</v>
      </c>
      <c r="J60">
        <v>0</v>
      </c>
      <c r="K60">
        <f>MAX(0,MIN(10,ROUND(E60*0.20+F60*0.25+G60*0.25+H60*0.25+I60/100*0.50-J60*0.15,1)))</f>
        <v>9.3</v>
      </c>
      <c r="L60" t="str">
        <f>IF(K60&gt;=5,"Apto","No apto")</f>
        <v>Apto</v>
      </c>
      <c r="M60" t="inlineStr">
        <is>
          <t>Proyecto muy robusto y buena trazabilidad de decisiones.</t>
        </is>
      </c>
    </row>
    <row r="61">
      <c r="A61" t="inlineStr">
        <is>
          <t>ALU-012</t>
        </is>
      </c>
      <c r="B61" t="inlineStr">
        <is>
          <t>Hugo Morales</t>
        </is>
      </c>
      <c r="C61" t="inlineStr">
        <is>
          <t>Redes Industriales</t>
        </is>
      </c>
      <c r="D61" t="inlineStr">
        <is>
          <t>G1</t>
        </is>
      </c>
      <c r="E61">
        <v>8.7</v>
      </c>
      <c r="F61">
        <v>9.1</v>
      </c>
      <c r="G61">
        <v>8.7</v>
      </c>
      <c r="H61">
        <v>9.8</v>
      </c>
      <c r="I61">
        <v>98</v>
      </c>
      <c r="J61">
        <v>0</v>
      </c>
      <c r="K61">
        <f>MAX(0,MIN(10,ROUND(E61*0.20+F61*0.25+G61*0.25+H61*0.25+I61/100*0.50-J61*0.15,1)))</f>
        <v>9.1</v>
      </c>
      <c r="L61" t="str">
        <f>IF(K61&gt;=5,"Apto","No apto")</f>
        <v>Apto</v>
      </c>
      <c r="M61" t="inlineStr">
        <is>
          <t>Trabajo autónomo sobresaliente; ayuda a compañeros en laboratorio.</t>
        </is>
      </c>
    </row>
    <row r="62">
      <c r="A62" t="inlineStr">
        <is>
          <t>ALU-013</t>
        </is>
      </c>
      <c r="B62" t="inlineStr">
        <is>
          <t>Irene Vidal</t>
        </is>
      </c>
      <c r="C62" t="inlineStr">
        <is>
          <t>Cálculo Numérico</t>
        </is>
      </c>
      <c r="D62" t="inlineStr">
        <is>
          <t>G2</t>
        </is>
      </c>
      <c r="E62">
        <v>7.2</v>
      </c>
      <c r="F62">
        <v>6.6</v>
      </c>
      <c r="G62">
        <v>7.6</v>
      </c>
      <c r="H62">
        <v>7.3</v>
      </c>
      <c r="I62">
        <v>85</v>
      </c>
      <c r="J62">
        <v>0</v>
      </c>
      <c r="K62">
        <f>MAX(0,MIN(10,ROUND(E62*0.20+F62*0.25+G62*0.25+H62*0.25+I62/100*0.50-J62*0.15,1)))</f>
        <v>7.2</v>
      </c>
      <c r="L62" t="str">
        <f>IF(K62&gt;=5,"Apto","No apto")</f>
        <v>Apto</v>
      </c>
      <c r="M62" t="inlineStr">
        <is>
          <t>Mejora clara respecto al primer parcial.</t>
        </is>
      </c>
    </row>
    <row r="63">
      <c r="A63" t="inlineStr">
        <is>
          <t>ALU-013</t>
        </is>
      </c>
      <c r="B63" t="inlineStr">
        <is>
          <t>Irene Vidal</t>
        </is>
      </c>
      <c r="C63" t="inlineStr">
        <is>
          <t>Sistemas Digitales</t>
        </is>
      </c>
      <c r="D63" t="inlineStr">
        <is>
          <t>G3</t>
        </is>
      </c>
      <c r="E63">
        <v>7.7</v>
      </c>
      <c r="F63">
        <v>6.5</v>
      </c>
      <c r="G63">
        <v>6.2</v>
      </c>
      <c r="H63">
        <v>7.4</v>
      </c>
      <c r="I63">
        <v>79</v>
      </c>
      <c r="J63">
        <v>0</v>
      </c>
      <c r="K63">
        <f>MAX(0,MIN(10,ROUND(E63*0.20+F63*0.25+G63*0.25+H63*0.25+I63/100*0.50-J63*0.15,1)))</f>
        <v>7.0</v>
      </c>
      <c r="L63" t="str">
        <f>IF(K63&gt;=5,"Apto","No apto")</f>
        <v>Apto</v>
      </c>
      <c r="M63" t="inlineStr">
        <is>
          <t>Progreso estable; conviene reforzar la parte teórica.</t>
        </is>
      </c>
    </row>
    <row r="64">
      <c r="A64" t="inlineStr">
        <is>
          <t>ALU-013</t>
        </is>
      </c>
      <c r="B64" t="inlineStr">
        <is>
          <t>Irene Vidal</t>
        </is>
      </c>
      <c r="C64" t="inlineStr">
        <is>
          <t>Termodinámica Aplicada</t>
        </is>
      </c>
      <c r="D64" t="inlineStr">
        <is>
          <t>G4</t>
        </is>
      </c>
      <c r="E64">
        <v>5.6</v>
      </c>
      <c r="F64">
        <v>4.2</v>
      </c>
      <c r="G64">
        <v>5.9</v>
      </c>
      <c r="H64">
        <v>5.4</v>
      </c>
      <c r="I64">
        <v>71</v>
      </c>
      <c r="J64">
        <v>0</v>
      </c>
      <c r="K64">
        <f>MAX(0,MIN(10,ROUND(E64*0.20+F64*0.25+G64*0.25+H64*0.25+I64/100*0.50-J64*0.15,1)))</f>
        <v>5.3</v>
      </c>
      <c r="L64" t="str">
        <f>IF(K64&gt;=5,"Apto","No apto")</f>
        <v>Apto</v>
      </c>
      <c r="M64" t="inlineStr">
        <is>
          <t>Participa de forma regular y entrega con calidad suficiente.</t>
        </is>
      </c>
    </row>
    <row r="65">
      <c r="A65" t="inlineStr">
        <is>
          <t>ALU-013</t>
        </is>
      </c>
      <c r="B65" t="inlineStr">
        <is>
          <t>Irene Vidal</t>
        </is>
      </c>
      <c r="C65" t="inlineStr">
        <is>
          <t>Robótica Móvil</t>
        </is>
      </c>
      <c r="D65" t="inlineStr">
        <is>
          <t>G1</t>
        </is>
      </c>
      <c r="E65">
        <v>7.6</v>
      </c>
      <c r="F65">
        <v>7.4</v>
      </c>
      <c r="G65">
        <v>8.2</v>
      </c>
      <c r="H65">
        <v>8.3</v>
      </c>
      <c r="I65">
        <v>80</v>
      </c>
      <c r="J65">
        <v>0</v>
      </c>
      <c r="K65">
        <f>MAX(0,MIN(10,ROUND(E65*0.20+F65*0.25+G65*0.25+H65*0.25+I65/100*0.50-J65*0.15,1)))</f>
        <v>7.9</v>
      </c>
      <c r="L65" t="str">
        <f>IF(K65&gt;=5,"Apto","No apto")</f>
        <v>Apto</v>
      </c>
      <c r="M65" t="inlineStr">
        <is>
          <t>Progreso estable; conviene reforzar la parte teórica.</t>
        </is>
      </c>
    </row>
    <row r="66">
      <c r="A66" t="inlineStr">
        <is>
          <t>ALU-013</t>
        </is>
      </c>
      <c r="B66" t="inlineStr">
        <is>
          <t>Irene Vidal</t>
        </is>
      </c>
      <c r="C66" t="inlineStr">
        <is>
          <t>Redes Industriales</t>
        </is>
      </c>
      <c r="D66" t="inlineStr">
        <is>
          <t>G2</t>
        </is>
      </c>
      <c r="E66">
        <v>7.1</v>
      </c>
      <c r="F66">
        <v>6.6</v>
      </c>
      <c r="G66">
        <v>7.5</v>
      </c>
      <c r="H66">
        <v>7.2</v>
      </c>
      <c r="I66">
        <v>73</v>
      </c>
      <c r="J66">
        <v>0</v>
      </c>
      <c r="K66">
        <f>MAX(0,MIN(10,ROUND(E66*0.20+F66*0.25+G66*0.25+H66*0.25+I66/100*0.50-J66*0.15,1)))</f>
        <v>7.1</v>
      </c>
      <c r="L66" t="str">
        <f>IF(K66&gt;=5,"Apto","No apto")</f>
        <v>Apto</v>
      </c>
      <c r="M66" t="inlineStr">
        <is>
          <t>Buen trabajo en prácticas, con margen en la argumentación.</t>
        </is>
      </c>
    </row>
    <row r="67">
      <c r="A67" t="inlineStr">
        <is>
          <t>ALU-014</t>
        </is>
      </c>
      <c r="B67" t="inlineStr">
        <is>
          <t>Bruno León</t>
        </is>
      </c>
      <c r="C67" t="inlineStr">
        <is>
          <t>Cálculo Numérico</t>
        </is>
      </c>
      <c r="D67" t="inlineStr">
        <is>
          <t>G3</t>
        </is>
      </c>
      <c r="E67">
        <v>8.3</v>
      </c>
      <c r="F67">
        <v>7.7</v>
      </c>
      <c r="G67">
        <v>8.3</v>
      </c>
      <c r="H67">
        <v>8.5</v>
      </c>
      <c r="I67">
        <v>93</v>
      </c>
      <c r="J67">
        <v>1</v>
      </c>
      <c r="K67">
        <f>MAX(0,MIN(10,ROUND(E67*0.20+F67*0.25+G67*0.25+H67*0.25+I67/100*0.50-J67*0.15,1)))</f>
        <v>8.1</v>
      </c>
      <c r="L67" t="str">
        <f>IF(K67&gt;=5,"Apto","No apto")</f>
        <v>Apto</v>
      </c>
      <c r="M67" t="inlineStr">
        <is>
          <t>Rendimiento irregular: muy dependiente de la evaluación continua.</t>
        </is>
      </c>
    </row>
    <row r="68">
      <c r="A68" t="inlineStr">
        <is>
          <t>ALU-014</t>
        </is>
      </c>
      <c r="B68" t="inlineStr">
        <is>
          <t>Bruno León</t>
        </is>
      </c>
      <c r="C68" t="inlineStr">
        <is>
          <t>Sistemas Digitales</t>
        </is>
      </c>
      <c r="D68" t="inlineStr">
        <is>
          <t>G4</t>
        </is>
      </c>
      <c r="E68">
        <v>8.3</v>
      </c>
      <c r="F68">
        <v>7.4</v>
      </c>
      <c r="G68">
        <v>7.9</v>
      </c>
      <c r="H68">
        <v>8.5</v>
      </c>
      <c r="I68">
        <v>99</v>
      </c>
      <c r="J68">
        <v>1</v>
      </c>
      <c r="K68">
        <f>MAX(0,MIN(10,ROUND(E68*0.20+F68*0.25+G68*0.25+H68*0.25+I68/100*0.50-J68*0.15,1)))</f>
        <v>8.0</v>
      </c>
      <c r="L68" t="str">
        <f>IF(K68&gt;=5,"Apto","No apto")</f>
        <v>Apto</v>
      </c>
      <c r="M68" t="inlineStr">
        <is>
          <t>Progreso estable; conviene reforzar la parte teórica.</t>
        </is>
      </c>
    </row>
    <row r="69">
      <c r="A69" t="inlineStr">
        <is>
          <t>ALU-014</t>
        </is>
      </c>
      <c r="B69" t="inlineStr">
        <is>
          <t>Bruno León</t>
        </is>
      </c>
      <c r="C69" t="inlineStr">
        <is>
          <t>Termodinámica Aplicada</t>
        </is>
      </c>
      <c r="D69" t="inlineStr">
        <is>
          <t>G1</t>
        </is>
      </c>
      <c r="E69">
        <v>7.5</v>
      </c>
      <c r="F69">
        <v>6.9</v>
      </c>
      <c r="G69">
        <v>6.8</v>
      </c>
      <c r="H69">
        <v>7.1</v>
      </c>
      <c r="I69">
        <v>92</v>
      </c>
      <c r="J69">
        <v>2</v>
      </c>
      <c r="K69">
        <f>MAX(0,MIN(10,ROUND(E69*0.20+F69*0.25+G69*0.25+H69*0.25+I69/100*0.50-J69*0.15,1)))</f>
        <v>6.9</v>
      </c>
      <c r="L69" t="str">
        <f>IF(K69&gt;=5,"Apto","No apto")</f>
        <v>Apto</v>
      </c>
      <c r="M69" t="inlineStr">
        <is>
          <t>Resultados sólidos, especialmente en proyecto.</t>
        </is>
      </c>
    </row>
    <row r="70">
      <c r="A70" t="inlineStr">
        <is>
          <t>ALU-014</t>
        </is>
      </c>
      <c r="B70" t="inlineStr">
        <is>
          <t>Bruno León</t>
        </is>
      </c>
      <c r="C70" t="inlineStr">
        <is>
          <t>Robótica Móvil</t>
        </is>
      </c>
      <c r="D70" t="inlineStr">
        <is>
          <t>G2</t>
        </is>
      </c>
      <c r="E70">
        <v>8.2</v>
      </c>
      <c r="F70">
        <v>6.0</v>
      </c>
      <c r="G70">
        <v>7.8</v>
      </c>
      <c r="H70">
        <v>9.2</v>
      </c>
      <c r="I70">
        <v>99</v>
      </c>
      <c r="J70">
        <v>2</v>
      </c>
      <c r="K70">
        <f>MAX(0,MIN(10,ROUND(E70*0.20+F70*0.25+G70*0.25+H70*0.25+I70/100*0.50-J70*0.15,1)))</f>
        <v>7.6</v>
      </c>
      <c r="L70" t="str">
        <f>IF(K70&gt;=5,"Apto","No apto")</f>
        <v>Apto</v>
      </c>
      <c r="M70" t="inlineStr">
        <is>
          <t>Progreso estable; conviene reforzar la parte teórica.</t>
        </is>
      </c>
    </row>
    <row r="71">
      <c r="A71" t="inlineStr">
        <is>
          <t>ALU-014</t>
        </is>
      </c>
      <c r="B71" t="inlineStr">
        <is>
          <t>Bruno León</t>
        </is>
      </c>
      <c r="C71" t="inlineStr">
        <is>
          <t>Redes Industriales</t>
        </is>
      </c>
      <c r="D71" t="inlineStr">
        <is>
          <t>G3</t>
        </is>
      </c>
      <c r="E71">
        <v>8.4</v>
      </c>
      <c r="F71">
        <v>7.9</v>
      </c>
      <c r="G71">
        <v>8.4</v>
      </c>
      <c r="H71">
        <v>8.2</v>
      </c>
      <c r="I71">
        <v>98</v>
      </c>
      <c r="J71">
        <v>1</v>
      </c>
      <c r="K71">
        <f>MAX(0,MIN(10,ROUND(E71*0.20+F71*0.25+G71*0.25+H71*0.25+I71/100*0.50-J71*0.15,1)))</f>
        <v>8.1</v>
      </c>
      <c r="L71" t="str">
        <f>IF(K71&gt;=5,"Apto","No apto")</f>
        <v>Apto</v>
      </c>
      <c r="M71" t="inlineStr">
        <is>
          <t>Participa de forma regular y entrega con calidad suficiente.</t>
        </is>
      </c>
    </row>
    <row r="72">
      <c r="A72" t="inlineStr">
        <is>
          <t>ALU-015</t>
        </is>
      </c>
      <c r="B72" t="inlineStr">
        <is>
          <t>Marta Vega</t>
        </is>
      </c>
      <c r="C72" t="inlineStr">
        <is>
          <t>Cálculo Numérico</t>
        </is>
      </c>
      <c r="D72" t="inlineStr">
        <is>
          <t>G4</t>
        </is>
      </c>
      <c r="E72">
        <v>6.4</v>
      </c>
      <c r="F72">
        <v>5.4</v>
      </c>
      <c r="G72">
        <v>6.2</v>
      </c>
      <c r="H72">
        <v>4.9</v>
      </c>
      <c r="I72">
        <v>76</v>
      </c>
      <c r="J72">
        <v>2</v>
      </c>
      <c r="K72">
        <f>MAX(0,MIN(10,ROUND(E72*0.20+F72*0.25+G72*0.25+H72*0.25+I72/100*0.50-J72*0.15,1)))</f>
        <v>5.5</v>
      </c>
      <c r="L72" t="str">
        <f>IF(K72&gt;=5,"Apto","No apto")</f>
        <v>Apto</v>
      </c>
      <c r="M72" t="inlineStr">
        <is>
          <t>Buen trabajo en prácticas, con margen en la argumentación.</t>
        </is>
      </c>
    </row>
    <row r="73">
      <c r="A73" t="inlineStr">
        <is>
          <t>ALU-015</t>
        </is>
      </c>
      <c r="B73" t="inlineStr">
        <is>
          <t>Marta Vega</t>
        </is>
      </c>
      <c r="C73" t="inlineStr">
        <is>
          <t>Sistemas Digitales</t>
        </is>
      </c>
      <c r="D73" t="inlineStr">
        <is>
          <t>G1</t>
        </is>
      </c>
      <c r="E73">
        <v>7.4</v>
      </c>
      <c r="F73">
        <v>7.2</v>
      </c>
      <c r="G73">
        <v>7.1</v>
      </c>
      <c r="H73">
        <v>6.1</v>
      </c>
      <c r="I73">
        <v>88</v>
      </c>
      <c r="J73">
        <v>1</v>
      </c>
      <c r="K73">
        <f>MAX(0,MIN(10,ROUND(E73*0.20+F73*0.25+G73*0.25+H73*0.25+I73/100*0.50-J73*0.15,1)))</f>
        <v>6.9</v>
      </c>
      <c r="L73" t="str">
        <f>IF(K73&gt;=5,"Apto","No apto")</f>
        <v>Apto</v>
      </c>
      <c r="M73" t="inlineStr">
        <is>
          <t>Buen trabajo en prácticas, con margen en la argumentación.</t>
        </is>
      </c>
    </row>
    <row r="74">
      <c r="A74" t="inlineStr">
        <is>
          <t>ALU-015</t>
        </is>
      </c>
      <c r="B74" t="inlineStr">
        <is>
          <t>Marta Vega</t>
        </is>
      </c>
      <c r="C74" t="inlineStr">
        <is>
          <t>Termodinámica Aplicada</t>
        </is>
      </c>
      <c r="D74" t="inlineStr">
        <is>
          <t>G2</t>
        </is>
      </c>
      <c r="E74">
        <v>5.8</v>
      </c>
      <c r="F74">
        <v>5.9</v>
      </c>
      <c r="G74">
        <v>6.5</v>
      </c>
      <c r="H74">
        <v>4.3</v>
      </c>
      <c r="I74">
        <v>93</v>
      </c>
      <c r="J74">
        <v>0</v>
      </c>
      <c r="K74">
        <f>MAX(0,MIN(10,ROUND(E74*0.20+F74*0.25+G74*0.25+H74*0.25+I74/100*0.50-J74*0.15,1)))</f>
        <v>5.8</v>
      </c>
      <c r="L74" t="str">
        <f>IF(K74&gt;=5,"Apto","No apto")</f>
        <v>Apto</v>
      </c>
      <c r="M74" t="inlineStr">
        <is>
          <t>Mejora clara respecto al primer parcial.</t>
        </is>
      </c>
    </row>
    <row r="75">
      <c r="A75" t="inlineStr">
        <is>
          <t>ALU-015</t>
        </is>
      </c>
      <c r="B75" t="inlineStr">
        <is>
          <t>Marta Vega</t>
        </is>
      </c>
      <c r="C75" t="inlineStr">
        <is>
          <t>Robótica Móvil</t>
        </is>
      </c>
      <c r="D75" t="inlineStr">
        <is>
          <t>G3</t>
        </is>
      </c>
      <c r="E75">
        <v>7.0</v>
      </c>
      <c r="F75">
        <v>6.9</v>
      </c>
      <c r="G75">
        <v>6.3</v>
      </c>
      <c r="H75">
        <v>7.6</v>
      </c>
      <c r="I75">
        <v>88</v>
      </c>
      <c r="J75">
        <v>0</v>
      </c>
      <c r="K75">
        <f>MAX(0,MIN(10,ROUND(E75*0.20+F75*0.25+G75*0.25+H75*0.25+I75/100*0.50-J75*0.15,1)))</f>
        <v>7.0</v>
      </c>
      <c r="L75" t="str">
        <f>IF(K75&gt;=5,"Apto","No apto")</f>
        <v>Apto</v>
      </c>
      <c r="M75" t="inlineStr">
        <is>
          <t>Progreso estable; conviene reforzar la parte teórica.</t>
        </is>
      </c>
    </row>
    <row r="76">
      <c r="A76" t="inlineStr">
        <is>
          <t>ALU-015</t>
        </is>
      </c>
      <c r="B76" t="inlineStr">
        <is>
          <t>Marta Vega</t>
        </is>
      </c>
      <c r="C76" t="inlineStr">
        <is>
          <t>Redes Industriales</t>
        </is>
      </c>
      <c r="D76" t="inlineStr">
        <is>
          <t>G4</t>
        </is>
      </c>
      <c r="E76">
        <v>6.4</v>
      </c>
      <c r="F76">
        <v>5.7</v>
      </c>
      <c r="G76">
        <v>6.3</v>
      </c>
      <c r="H76">
        <v>7.3</v>
      </c>
      <c r="I76">
        <v>77</v>
      </c>
      <c r="J76">
        <v>0</v>
      </c>
      <c r="K76">
        <f>MAX(0,MIN(10,ROUND(E76*0.20+F76*0.25+G76*0.25+H76*0.25+I76/100*0.50-J76*0.15,1)))</f>
        <v>6.5</v>
      </c>
      <c r="L76" t="str">
        <f>IF(K76&gt;=5,"Apto","No apto")</f>
        <v>Apto</v>
      </c>
      <c r="M76" t="inlineStr">
        <is>
          <t>Mejora clara respecto al primer parcial.</t>
        </is>
      </c>
    </row>
    <row r="77">
      <c r="A77" t="inlineStr">
        <is>
          <t>ALU-016</t>
        </is>
      </c>
      <c r="B77" t="inlineStr">
        <is>
          <t>Raúl Pardo</t>
        </is>
      </c>
      <c r="C77" t="inlineStr">
        <is>
          <t>Cálculo Numérico</t>
        </is>
      </c>
      <c r="D77" t="inlineStr">
        <is>
          <t>G1</t>
        </is>
      </c>
      <c r="E77">
        <v>3.8</v>
      </c>
      <c r="F77">
        <v>4.0</v>
      </c>
      <c r="G77">
        <v>4.5</v>
      </c>
      <c r="H77">
        <v>3.8</v>
      </c>
      <c r="I77">
        <v>82</v>
      </c>
      <c r="J77">
        <v>0</v>
      </c>
      <c r="K77">
        <f>MAX(0,MIN(10,ROUND(E77*0.20+F77*0.25+G77*0.25+H77*0.25+I77/100*0.50-J77*0.15,1)))</f>
        <v>4.2</v>
      </c>
      <c r="L77" t="str">
        <f>IF(K77&gt;=5,"Apto","No apto")</f>
        <v>No apto</v>
      </c>
      <c r="M77" t="inlineStr">
        <is>
          <t>Asistencia baja y entregas incompletas afectan a la nota.</t>
        </is>
      </c>
    </row>
    <row r="78">
      <c r="A78" t="inlineStr">
        <is>
          <t>ALU-016</t>
        </is>
      </c>
      <c r="B78" t="inlineStr">
        <is>
          <t>Raúl Pardo</t>
        </is>
      </c>
      <c r="C78" t="inlineStr">
        <is>
          <t>Sistemas Digitales</t>
        </is>
      </c>
      <c r="D78" t="inlineStr">
        <is>
          <t>G2</t>
        </is>
      </c>
      <c r="E78">
        <v>5.0</v>
      </c>
      <c r="F78">
        <v>6.0</v>
      </c>
      <c r="G78">
        <v>6.3</v>
      </c>
      <c r="H78">
        <v>3.9</v>
      </c>
      <c r="I78">
        <v>75</v>
      </c>
      <c r="J78">
        <v>0</v>
      </c>
      <c r="K78">
        <f>MAX(0,MIN(10,ROUND(E78*0.20+F78*0.25+G78*0.25+H78*0.25+I78/100*0.50-J78*0.15,1)))</f>
        <v>5.4</v>
      </c>
      <c r="L78" t="str">
        <f>IF(K78&gt;=5,"Apto","No apto")</f>
        <v>Apto</v>
      </c>
      <c r="M78" t="inlineStr">
        <is>
          <t>Resultados sólidos, especialmente en proyecto.</t>
        </is>
      </c>
    </row>
    <row r="79">
      <c r="A79" t="inlineStr">
        <is>
          <t>ALU-016</t>
        </is>
      </c>
      <c r="B79" t="inlineStr">
        <is>
          <t>Raúl Pardo</t>
        </is>
      </c>
      <c r="C79" t="inlineStr">
        <is>
          <t>Termodinámica Aplicada</t>
        </is>
      </c>
      <c r="D79" t="inlineStr">
        <is>
          <t>G3</t>
        </is>
      </c>
      <c r="E79">
        <v>4.3</v>
      </c>
      <c r="F79">
        <v>4.5</v>
      </c>
      <c r="G79">
        <v>3.2</v>
      </c>
      <c r="H79">
        <v>4.0</v>
      </c>
      <c r="I79">
        <v>81</v>
      </c>
      <c r="J79">
        <v>0</v>
      </c>
      <c r="K79">
        <f>MAX(0,MIN(10,ROUND(E79*0.20+F79*0.25+G79*0.25+H79*0.25+I79/100*0.50-J79*0.15,1)))</f>
        <v>4.2</v>
      </c>
      <c r="L79" t="str">
        <f>IF(K79&gt;=5,"Apto","No apto")</f>
        <v>No apto</v>
      </c>
      <c r="M79" t="inlineStr">
        <is>
          <t>No consolida los mínimos del segundo bloque.</t>
        </is>
      </c>
    </row>
    <row r="80">
      <c r="A80" t="inlineStr">
        <is>
          <t>ALU-016</t>
        </is>
      </c>
      <c r="B80" t="inlineStr">
        <is>
          <t>Raúl Pardo</t>
        </is>
      </c>
      <c r="C80" t="inlineStr">
        <is>
          <t>Robótica Móvil</t>
        </is>
      </c>
      <c r="D80" t="inlineStr">
        <is>
          <t>G4</t>
        </is>
      </c>
      <c r="E80">
        <v>5.1</v>
      </c>
      <c r="F80">
        <v>5.4</v>
      </c>
      <c r="G80">
        <v>5.4</v>
      </c>
      <c r="H80">
        <v>5.8</v>
      </c>
      <c r="I80">
        <v>82</v>
      </c>
      <c r="J80">
        <v>0</v>
      </c>
      <c r="K80">
        <f>MAX(0,MIN(10,ROUND(E80*0.20+F80*0.25+G80*0.25+H80*0.25+I80/100*0.50-J80*0.15,1)))</f>
        <v>5.6</v>
      </c>
      <c r="L80" t="str">
        <f>IF(K80&gt;=5,"Apto","No apto")</f>
        <v>Apto</v>
      </c>
      <c r="M80" t="inlineStr">
        <is>
          <t>Resultados sólidos, especialmente en proyecto.</t>
        </is>
      </c>
    </row>
    <row r="81">
      <c r="A81" t="inlineStr">
        <is>
          <t>ALU-016</t>
        </is>
      </c>
      <c r="B81" t="inlineStr">
        <is>
          <t>Raúl Pardo</t>
        </is>
      </c>
      <c r="C81" t="inlineStr">
        <is>
          <t>Redes Industriales</t>
        </is>
      </c>
      <c r="D81" t="inlineStr">
        <is>
          <t>G1</t>
        </is>
      </c>
      <c r="E81">
        <v>4.8</v>
      </c>
      <c r="F81">
        <v>4.0</v>
      </c>
      <c r="G81">
        <v>4.1</v>
      </c>
      <c r="H81">
        <v>3.7</v>
      </c>
      <c r="I81">
        <v>87</v>
      </c>
      <c r="J81">
        <v>1</v>
      </c>
      <c r="K81">
        <f>MAX(0,MIN(10,ROUND(E81*0.20+F81*0.25+G81*0.25+H81*0.25+I81/100*0.50-J81*0.15,1)))</f>
        <v>4.2</v>
      </c>
      <c r="L81" t="str">
        <f>IF(K81&gt;=5,"Apto","No apto")</f>
        <v>No apto</v>
      </c>
      <c r="M81" t="inlineStr">
        <is>
          <t>No consolida los mínimos del segundo bloque.</t>
        </is>
      </c>
    </row>
    <row r="82">
      <c r="A82" t="inlineStr">
        <is>
          <t>ALU-017</t>
        </is>
      </c>
      <c r="B82" t="inlineStr">
        <is>
          <t>Julia Fuentes</t>
        </is>
      </c>
      <c r="C82" t="inlineStr">
        <is>
          <t>Cálculo Numérico</t>
        </is>
      </c>
      <c r="D82" t="inlineStr">
        <is>
          <t>G2</t>
        </is>
      </c>
      <c r="E82">
        <v>7.7</v>
      </c>
      <c r="F82">
        <v>6.9</v>
      </c>
      <c r="G82">
        <v>7.0</v>
      </c>
      <c r="H82">
        <v>7.5</v>
      </c>
      <c r="I82">
        <v>66</v>
      </c>
      <c r="J82">
        <v>2</v>
      </c>
      <c r="K82">
        <f>MAX(0,MIN(10,ROUND(E82*0.20+F82*0.25+G82*0.25+H82*0.25+I82/100*0.50-J82*0.15,1)))</f>
        <v>6.9</v>
      </c>
      <c r="L82" t="str">
        <f>IF(K82&gt;=5,"Apto","No apto")</f>
        <v>Apto</v>
      </c>
      <c r="M82" t="inlineStr">
        <is>
          <t>Conviene seguimiento en tutoría antes del cierre de actas.</t>
        </is>
      </c>
    </row>
    <row r="83">
      <c r="A83" t="inlineStr">
        <is>
          <t>ALU-017</t>
        </is>
      </c>
      <c r="B83" t="inlineStr">
        <is>
          <t>Julia Fuentes</t>
        </is>
      </c>
      <c r="C83" t="inlineStr">
        <is>
          <t>Sistemas Digitales</t>
        </is>
      </c>
      <c r="D83" t="inlineStr">
        <is>
          <t>G3</t>
        </is>
      </c>
      <c r="E83">
        <v>8.3</v>
      </c>
      <c r="F83">
        <v>7.8</v>
      </c>
      <c r="G83">
        <v>8.2</v>
      </c>
      <c r="H83">
        <v>9.2</v>
      </c>
      <c r="I83">
        <v>78</v>
      </c>
      <c r="J83">
        <v>0</v>
      </c>
      <c r="K83">
        <f>MAX(0,MIN(10,ROUND(E83*0.20+F83*0.25+G83*0.25+H83*0.25+I83/100*0.50-J83*0.15,1)))</f>
        <v>8.3</v>
      </c>
      <c r="L83" t="str">
        <f>IF(K83&gt;=5,"Apto","No apto")</f>
        <v>Apto</v>
      </c>
      <c r="M83" t="inlineStr">
        <is>
          <t>Rendimiento irregular: muy dependiente de la evaluación continua.</t>
        </is>
      </c>
    </row>
    <row r="84">
      <c r="A84" t="inlineStr">
        <is>
          <t>ALU-017</t>
        </is>
      </c>
      <c r="B84" t="inlineStr">
        <is>
          <t>Julia Fuentes</t>
        </is>
      </c>
      <c r="C84" t="inlineStr">
        <is>
          <t>Termodinámica Aplicada</t>
        </is>
      </c>
      <c r="D84" t="inlineStr">
        <is>
          <t>G4</t>
        </is>
      </c>
      <c r="E84">
        <v>7.0</v>
      </c>
      <c r="F84">
        <v>6.9</v>
      </c>
      <c r="G84">
        <v>6.3</v>
      </c>
      <c r="H84">
        <v>6.2</v>
      </c>
      <c r="I84">
        <v>69</v>
      </c>
      <c r="J84">
        <v>1</v>
      </c>
      <c r="K84">
        <f>MAX(0,MIN(10,ROUND(E84*0.20+F84*0.25+G84*0.25+H84*0.25+I84/100*0.50-J84*0.15,1)))</f>
        <v>6.4</v>
      </c>
      <c r="L84" t="str">
        <f>IF(K84&gt;=5,"Apto","No apto")</f>
        <v>Apto</v>
      </c>
      <c r="M84" t="inlineStr">
        <is>
          <t>Pendiente de justificar una ausencia de laboratorio.</t>
        </is>
      </c>
    </row>
    <row r="85">
      <c r="A85" t="inlineStr">
        <is>
          <t>ALU-017</t>
        </is>
      </c>
      <c r="B85" t="inlineStr">
        <is>
          <t>Julia Fuentes</t>
        </is>
      </c>
      <c r="C85" t="inlineStr">
        <is>
          <t>Robótica Móvil</t>
        </is>
      </c>
      <c r="D85" t="inlineStr">
        <is>
          <t>G1</t>
        </is>
      </c>
      <c r="E85">
        <v>9.0</v>
      </c>
      <c r="F85">
        <v>8.8</v>
      </c>
      <c r="G85">
        <v>9.7</v>
      </c>
      <c r="H85">
        <v>9.9</v>
      </c>
      <c r="I85">
        <v>71</v>
      </c>
      <c r="J85">
        <v>0</v>
      </c>
      <c r="K85">
        <f>MAX(0,MIN(10,ROUND(E85*0.20+F85*0.25+G85*0.25+H85*0.25+I85/100*0.50-J85*0.15,1)))</f>
        <v>9.3</v>
      </c>
      <c r="L85" t="str">
        <f>IF(K85&gt;=5,"Apto","No apto")</f>
        <v>Apto</v>
      </c>
      <c r="M85" t="inlineStr">
        <is>
          <t>Excelente dominio técnico y defensa oral muy clara.</t>
        </is>
      </c>
    </row>
    <row r="86">
      <c r="A86" t="inlineStr">
        <is>
          <t>ALU-017</t>
        </is>
      </c>
      <c r="B86" t="inlineStr">
        <is>
          <t>Julia Fuentes</t>
        </is>
      </c>
      <c r="C86" t="inlineStr">
        <is>
          <t>Redes Industriales</t>
        </is>
      </c>
      <c r="D86" t="inlineStr">
        <is>
          <t>G2</t>
        </is>
      </c>
      <c r="E86">
        <v>7.5</v>
      </c>
      <c r="F86">
        <v>7.6</v>
      </c>
      <c r="G86">
        <v>8.0</v>
      </c>
      <c r="H86">
        <v>8.3</v>
      </c>
      <c r="I86">
        <v>66</v>
      </c>
      <c r="J86">
        <v>1</v>
      </c>
      <c r="K86">
        <f>MAX(0,MIN(10,ROUND(E86*0.20+F86*0.25+G86*0.25+H86*0.25+I86/100*0.50-J86*0.15,1)))</f>
        <v>7.7</v>
      </c>
      <c r="L86" t="str">
        <f>IF(K86&gt;=5,"Apto","No apto")</f>
        <v>Apto</v>
      </c>
      <c r="M86" t="inlineStr">
        <is>
          <t>Pendiente de justificar una ausencia de laboratorio.</t>
        </is>
      </c>
    </row>
    <row r="87">
      <c r="A87" t="inlineStr">
        <is>
          <t>ALU-018</t>
        </is>
      </c>
      <c r="B87" t="inlineStr">
        <is>
          <t>Mario Reyes</t>
        </is>
      </c>
      <c r="C87" t="inlineStr">
        <is>
          <t>Cálculo Numérico</t>
        </is>
      </c>
      <c r="D87" t="inlineStr">
        <is>
          <t>G3</t>
        </is>
      </c>
      <c r="E87">
        <v>5.6</v>
      </c>
      <c r="F87">
        <v>5.2</v>
      </c>
      <c r="G87">
        <v>5.2</v>
      </c>
      <c r="H87">
        <v>4.5</v>
      </c>
      <c r="I87">
        <v>92</v>
      </c>
      <c r="J87">
        <v>0</v>
      </c>
      <c r="K87">
        <f>MAX(0,MIN(10,ROUND(E87*0.20+F87*0.25+G87*0.25+H87*0.25+I87/100*0.50-J87*0.15,1)))</f>
        <v>5.3</v>
      </c>
      <c r="L87" t="str">
        <f>IF(K87&gt;=5,"Apto","No apto")</f>
        <v>Apto</v>
      </c>
      <c r="M87" t="inlineStr">
        <is>
          <t>Mejora clara respecto al primer parcial.</t>
        </is>
      </c>
    </row>
    <row r="88">
      <c r="A88" t="inlineStr">
        <is>
          <t>ALU-018</t>
        </is>
      </c>
      <c r="B88" t="inlineStr">
        <is>
          <t>Mario Reyes</t>
        </is>
      </c>
      <c r="C88" t="inlineStr">
        <is>
          <t>Sistemas Digitales</t>
        </is>
      </c>
      <c r="D88" t="inlineStr">
        <is>
          <t>G4</t>
        </is>
      </c>
      <c r="E88">
        <v>5.7</v>
      </c>
      <c r="F88">
        <v>4.9</v>
      </c>
      <c r="G88">
        <v>5.2</v>
      </c>
      <c r="H88">
        <v>5.6</v>
      </c>
      <c r="I88">
        <v>100</v>
      </c>
      <c r="J88">
        <v>1</v>
      </c>
      <c r="K88">
        <f>MAX(0,MIN(10,ROUND(E88*0.20+F88*0.25+G88*0.25+H88*0.25+I88/100*0.50-J88*0.15,1)))</f>
        <v>5.4</v>
      </c>
      <c r="L88" t="str">
        <f>IF(K88&gt;=5,"Apto","No apto")</f>
        <v>Apto</v>
      </c>
      <c r="M88" t="inlineStr">
        <is>
          <t>Rendimiento irregular: muy dependiente de la evaluación continua.</t>
        </is>
      </c>
    </row>
    <row r="89">
      <c r="A89" t="inlineStr">
        <is>
          <t>ALU-018</t>
        </is>
      </c>
      <c r="B89" t="inlineStr">
        <is>
          <t>Mario Reyes</t>
        </is>
      </c>
      <c r="C89" t="inlineStr">
        <is>
          <t>Termodinámica Aplicada</t>
        </is>
      </c>
      <c r="D89" t="inlineStr">
        <is>
          <t>G1</t>
        </is>
      </c>
      <c r="E89">
        <v>5.0</v>
      </c>
      <c r="F89">
        <v>5.5</v>
      </c>
      <c r="G89">
        <v>6.5</v>
      </c>
      <c r="H89">
        <v>3.7</v>
      </c>
      <c r="I89">
        <v>92</v>
      </c>
      <c r="J89">
        <v>0</v>
      </c>
      <c r="K89">
        <f>MAX(0,MIN(10,ROUND(E89*0.20+F89*0.25+G89*0.25+H89*0.25+I89/100*0.50-J89*0.15,1)))</f>
        <v>5.4</v>
      </c>
      <c r="L89" t="str">
        <f>IF(K89&gt;=5,"Apto","No apto")</f>
        <v>Apto</v>
      </c>
      <c r="M89" t="inlineStr">
        <is>
          <t>Mejora clara respecto al primer parcial.</t>
        </is>
      </c>
    </row>
    <row r="90">
      <c r="A90" t="inlineStr">
        <is>
          <t>ALU-018</t>
        </is>
      </c>
      <c r="B90" t="inlineStr">
        <is>
          <t>Mario Reyes</t>
        </is>
      </c>
      <c r="C90" t="inlineStr">
        <is>
          <t>Robótica Móvil</t>
        </is>
      </c>
      <c r="D90" t="inlineStr">
        <is>
          <t>G2</t>
        </is>
      </c>
      <c r="E90">
        <v>6.5</v>
      </c>
      <c r="F90">
        <v>6.4</v>
      </c>
      <c r="G90">
        <v>6.8</v>
      </c>
      <c r="H90">
        <v>7.4</v>
      </c>
      <c r="I90">
        <v>97</v>
      </c>
      <c r="J90">
        <v>1</v>
      </c>
      <c r="K90">
        <f>MAX(0,MIN(10,ROUND(E90*0.20+F90*0.25+G90*0.25+H90*0.25+I90/100*0.50-J90*0.15,1)))</f>
        <v>6.8</v>
      </c>
      <c r="L90" t="str">
        <f>IF(K90&gt;=5,"Apto","No apto")</f>
        <v>Apto</v>
      </c>
      <c r="M90" t="inlineStr">
        <is>
          <t>Mejora clara respecto al primer parcial.</t>
        </is>
      </c>
    </row>
    <row r="91">
      <c r="A91" t="inlineStr">
        <is>
          <t>ALU-018</t>
        </is>
      </c>
      <c r="B91" t="inlineStr">
        <is>
          <t>Mario Reyes</t>
        </is>
      </c>
      <c r="C91" t="inlineStr">
        <is>
          <t>Redes Industriales</t>
        </is>
      </c>
      <c r="D91" t="inlineStr">
        <is>
          <t>G3</t>
        </is>
      </c>
      <c r="E91">
        <v>6.2</v>
      </c>
      <c r="F91">
        <v>4.9</v>
      </c>
      <c r="G91">
        <v>5.8</v>
      </c>
      <c r="H91">
        <v>6.5</v>
      </c>
      <c r="I91">
        <v>88</v>
      </c>
      <c r="J91">
        <v>0</v>
      </c>
      <c r="K91">
        <f>MAX(0,MIN(10,ROUND(E91*0.20+F91*0.25+G91*0.25+H91*0.25+I91/100*0.50-J91*0.15,1)))</f>
        <v>6.0</v>
      </c>
      <c r="L91" t="str">
        <f>IF(K91&gt;=5,"Apto","No apto")</f>
        <v>Apto</v>
      </c>
      <c r="M91" t="inlineStr">
        <is>
          <t>Mejora clara respecto al primer parcial.</t>
        </is>
      </c>
    </row>
    <row r="92">
      <c r="A92" t="inlineStr">
        <is>
          <t>ALU-019</t>
        </is>
      </c>
      <c r="B92" t="inlineStr">
        <is>
          <t>Clara Ibáñez</t>
        </is>
      </c>
      <c r="C92" t="inlineStr">
        <is>
          <t>Cálculo Numérico</t>
        </is>
      </c>
      <c r="D92" t="inlineStr">
        <is>
          <t>G4</t>
        </is>
      </c>
      <c r="E92">
        <v>6.1</v>
      </c>
      <c r="F92">
        <v>3.6</v>
      </c>
      <c r="G92">
        <v>5.6</v>
      </c>
      <c r="H92">
        <v>5.5</v>
      </c>
      <c r="I92">
        <v>73</v>
      </c>
      <c r="J92">
        <v>1</v>
      </c>
      <c r="K92">
        <f>MAX(0,MIN(10,ROUND(E92*0.20+F92*0.25+G92*0.25+H92*0.25+I92/100*0.50-J92*0.15,1)))</f>
        <v>5.1</v>
      </c>
      <c r="L92" t="str">
        <f>IF(K92&gt;=5,"Apto","No apto")</f>
        <v>Apto</v>
      </c>
      <c r="M92" t="inlineStr">
        <is>
          <t>Progreso estable; conviene reforzar la parte teórica.</t>
        </is>
      </c>
    </row>
    <row r="93">
      <c r="A93" t="inlineStr">
        <is>
          <t>ALU-019</t>
        </is>
      </c>
      <c r="B93" t="inlineStr">
        <is>
          <t>Clara Ibáñez</t>
        </is>
      </c>
      <c r="C93" t="inlineStr">
        <is>
          <t>Sistemas Digitales</t>
        </is>
      </c>
      <c r="D93" t="inlineStr">
        <is>
          <t>G1</t>
        </is>
      </c>
      <c r="E93">
        <v>5.9</v>
      </c>
      <c r="F93">
        <v>6.0</v>
      </c>
      <c r="G93">
        <v>5.3</v>
      </c>
      <c r="H93">
        <v>6.0</v>
      </c>
      <c r="I93">
        <v>84</v>
      </c>
      <c r="J93">
        <v>0</v>
      </c>
      <c r="K93">
        <f>MAX(0,MIN(10,ROUND(E93*0.20+F93*0.25+G93*0.25+H93*0.25+I93/100*0.50-J93*0.15,1)))</f>
        <v>5.9</v>
      </c>
      <c r="L93" t="str">
        <f>IF(K93&gt;=5,"Apto","No apto")</f>
        <v>Apto</v>
      </c>
      <c r="M93" t="inlineStr">
        <is>
          <t>Participa de forma regular y entrega con calidad suficiente.</t>
        </is>
      </c>
    </row>
    <row r="94">
      <c r="A94" t="inlineStr">
        <is>
          <t>ALU-019</t>
        </is>
      </c>
      <c r="B94" t="inlineStr">
        <is>
          <t>Clara Ibáñez</t>
        </is>
      </c>
      <c r="C94" t="inlineStr">
        <is>
          <t>Termodinámica Aplicada</t>
        </is>
      </c>
      <c r="D94" t="inlineStr">
        <is>
          <t>G2</t>
        </is>
      </c>
      <c r="E94">
        <v>4.9</v>
      </c>
      <c r="F94">
        <v>3.9</v>
      </c>
      <c r="G94">
        <v>4.2</v>
      </c>
      <c r="H94">
        <v>4.6</v>
      </c>
      <c r="I94">
        <v>99</v>
      </c>
      <c r="J94">
        <v>1</v>
      </c>
      <c r="K94">
        <f>MAX(0,MIN(10,ROUND(E94*0.20+F94*0.25+G94*0.25+H94*0.25+I94/100*0.50-J94*0.15,1)))</f>
        <v>4.5</v>
      </c>
      <c r="L94" t="str">
        <f>IF(K94&gt;=5,"Apto","No apto")</f>
        <v>No apto</v>
      </c>
      <c r="M94" t="inlineStr">
        <is>
          <t>Parciales insuficientes pese a cumplir algunas prácticas.</t>
        </is>
      </c>
    </row>
    <row r="95">
      <c r="A95" t="inlineStr">
        <is>
          <t>ALU-019</t>
        </is>
      </c>
      <c r="B95" t="inlineStr">
        <is>
          <t>Clara Ibáñez</t>
        </is>
      </c>
      <c r="C95" t="inlineStr">
        <is>
          <t>Robótica Móvil</t>
        </is>
      </c>
      <c r="D95" t="inlineStr">
        <is>
          <t>G3</t>
        </is>
      </c>
      <c r="E95">
        <v>6.5</v>
      </c>
      <c r="F95">
        <v>5.7</v>
      </c>
      <c r="G95">
        <v>6.5</v>
      </c>
      <c r="H95">
        <v>6.9</v>
      </c>
      <c r="I95">
        <v>78</v>
      </c>
      <c r="J95">
        <v>0</v>
      </c>
      <c r="K95">
        <f>MAX(0,MIN(10,ROUND(E95*0.20+F95*0.25+G95*0.25+H95*0.25+I95/100*0.50-J95*0.15,1)))</f>
        <v>6.5</v>
      </c>
      <c r="L95" t="str">
        <f>IF(K95&gt;=5,"Apto","No apto")</f>
        <v>Apto</v>
      </c>
      <c r="M95" t="inlineStr">
        <is>
          <t>Mejora clara respecto al primer parcial.</t>
        </is>
      </c>
    </row>
    <row r="96">
      <c r="A96" t="inlineStr">
        <is>
          <t>ALU-019</t>
        </is>
      </c>
      <c r="B96" t="inlineStr">
        <is>
          <t>Clara Ibáñez</t>
        </is>
      </c>
      <c r="C96" t="inlineStr">
        <is>
          <t>Redes Industriales</t>
        </is>
      </c>
      <c r="D96" t="inlineStr">
        <is>
          <t>G4</t>
        </is>
      </c>
      <c r="E96">
        <v>6.0</v>
      </c>
      <c r="F96">
        <v>5.3</v>
      </c>
      <c r="G96">
        <v>5.4</v>
      </c>
      <c r="H96">
        <v>5.4</v>
      </c>
      <c r="I96">
        <v>68</v>
      </c>
      <c r="J96">
        <v>0</v>
      </c>
      <c r="K96">
        <f>MAX(0,MIN(10,ROUND(E96*0.20+F96*0.25+G96*0.25+H96*0.25+I96/100*0.50-J96*0.15,1)))</f>
        <v>5.6</v>
      </c>
      <c r="L96" t="str">
        <f>IF(K96&gt;=5,"Apto","No apto")</f>
        <v>Apto</v>
      </c>
      <c r="M96" t="inlineStr">
        <is>
          <t>Tiene una práctica no evaluada por entrega fuera de plazo.</t>
        </is>
      </c>
    </row>
    <row r="97">
      <c r="A97" t="inlineStr">
        <is>
          <t>ALU-020</t>
        </is>
      </c>
      <c r="B97" t="inlineStr">
        <is>
          <t>Sergio Gil</t>
        </is>
      </c>
      <c r="C97" t="inlineStr">
        <is>
          <t>Cálculo Numérico</t>
        </is>
      </c>
      <c r="D97" t="inlineStr">
        <is>
          <t>G1</t>
        </is>
      </c>
      <c r="E97">
        <v>8.8</v>
      </c>
      <c r="F97">
        <v>6.6</v>
      </c>
      <c r="G97">
        <v>8.0</v>
      </c>
      <c r="H97">
        <v>7.9</v>
      </c>
      <c r="I97">
        <v>80</v>
      </c>
      <c r="J97">
        <v>0</v>
      </c>
      <c r="K97">
        <f>MAX(0,MIN(10,ROUND(E97*0.20+F97*0.25+G97*0.25+H97*0.25+I97/100*0.50-J97*0.15,1)))</f>
        <v>7.8</v>
      </c>
      <c r="L97" t="str">
        <f>IF(K97&gt;=5,"Apto","No apto")</f>
        <v>Apto</v>
      </c>
      <c r="M97" t="inlineStr">
        <is>
          <t>Rendimiento irregular: muy dependiente de la evaluación continua.</t>
        </is>
      </c>
    </row>
    <row r="98">
      <c r="A98" t="inlineStr">
        <is>
          <t>ALU-020</t>
        </is>
      </c>
      <c r="B98" t="inlineStr">
        <is>
          <t>Sergio Gil</t>
        </is>
      </c>
      <c r="C98" t="inlineStr">
        <is>
          <t>Sistemas Digitales</t>
        </is>
      </c>
      <c r="D98" t="inlineStr">
        <is>
          <t>G2</t>
        </is>
      </c>
      <c r="E98">
        <v>7.7</v>
      </c>
      <c r="F98">
        <v>6.5</v>
      </c>
      <c r="G98">
        <v>7.3</v>
      </c>
      <c r="H98">
        <v>7.6</v>
      </c>
      <c r="I98">
        <v>83</v>
      </c>
      <c r="J98">
        <v>0</v>
      </c>
      <c r="K98">
        <f>MAX(0,MIN(10,ROUND(E98*0.20+F98*0.25+G98*0.25+H98*0.25+I98/100*0.50-J98*0.15,1)))</f>
        <v>7.3</v>
      </c>
      <c r="L98" t="str">
        <f>IF(K98&gt;=5,"Apto","No apto")</f>
        <v>Apto</v>
      </c>
      <c r="M98" t="inlineStr">
        <is>
          <t>Mejora clara respecto al primer parcial.</t>
        </is>
      </c>
    </row>
    <row r="99">
      <c r="A99" t="inlineStr">
        <is>
          <t>ALU-020</t>
        </is>
      </c>
      <c r="B99" t="inlineStr">
        <is>
          <t>Sergio Gil</t>
        </is>
      </c>
      <c r="C99" t="inlineStr">
        <is>
          <t>Termodinámica Aplicada</t>
        </is>
      </c>
      <c r="D99" t="inlineStr">
        <is>
          <t>G3</t>
        </is>
      </c>
      <c r="E99">
        <v>6.5</v>
      </c>
      <c r="F99">
        <v>5.3</v>
      </c>
      <c r="G99">
        <v>4.6</v>
      </c>
      <c r="H99">
        <v>5.9</v>
      </c>
      <c r="I99">
        <v>76</v>
      </c>
      <c r="J99">
        <v>0</v>
      </c>
      <c r="K99">
        <f>MAX(0,MIN(10,ROUND(E99*0.20+F99*0.25+G99*0.25+H99*0.25+I99/100*0.50-J99*0.15,1)))</f>
        <v>5.6</v>
      </c>
      <c r="L99" t="str">
        <f>IF(K99&gt;=5,"Apto","No apto")</f>
        <v>Apto</v>
      </c>
      <c r="M99" t="inlineStr">
        <is>
          <t>Mejora clara respecto al primer parcial.</t>
        </is>
      </c>
    </row>
    <row r="100">
      <c r="A100" t="inlineStr">
        <is>
          <t>ALU-020</t>
        </is>
      </c>
      <c r="B100" t="inlineStr">
        <is>
          <t>Sergio Gil</t>
        </is>
      </c>
      <c r="C100" t="inlineStr">
        <is>
          <t>Robótica Móvil</t>
        </is>
      </c>
      <c r="D100" t="inlineStr">
        <is>
          <t>G4</t>
        </is>
      </c>
      <c r="E100">
        <v>8.7</v>
      </c>
      <c r="F100">
        <v>8.4</v>
      </c>
      <c r="G100">
        <v>7.9</v>
      </c>
      <c r="H100">
        <v>9.5</v>
      </c>
      <c r="I100">
        <v>89</v>
      </c>
      <c r="J100">
        <v>0</v>
      </c>
      <c r="K100">
        <f>MAX(0,MIN(10,ROUND(E100*0.20+F100*0.25+G100*0.25+H100*0.25+I100/100*0.50-J100*0.15,1)))</f>
        <v>8.6</v>
      </c>
      <c r="L100" t="str">
        <f>IF(K100&gt;=5,"Apto","No apto")</f>
        <v>Apto</v>
      </c>
      <c r="M100" t="inlineStr">
        <is>
          <t>Buen trabajo en prácticas, con margen en la argumentación.</t>
        </is>
      </c>
    </row>
    <row r="101">
      <c r="A101" t="inlineStr">
        <is>
          <t>ALU-020</t>
        </is>
      </c>
      <c r="B101" t="inlineStr">
        <is>
          <t>Sergio Gil</t>
        </is>
      </c>
      <c r="C101" t="inlineStr">
        <is>
          <t>Redes Industriales</t>
        </is>
      </c>
      <c r="D101" t="inlineStr">
        <is>
          <t>G1</t>
        </is>
      </c>
      <c r="E101">
        <v>8.4</v>
      </c>
      <c r="F101">
        <v>7.0</v>
      </c>
      <c r="G101">
        <v>7.3</v>
      </c>
      <c r="H101">
        <v>7.3</v>
      </c>
      <c r="I101">
        <v>89</v>
      </c>
      <c r="J101">
        <v>1</v>
      </c>
      <c r="K101">
        <f>MAX(0,MIN(10,ROUND(E101*0.20+F101*0.25+G101*0.25+H101*0.25+I101/100*0.50-J101*0.15,1)))</f>
        <v>7.4</v>
      </c>
      <c r="L101" t="str">
        <f>IF(K101&gt;=5,"Apto","No apto")</f>
        <v>Apto</v>
      </c>
      <c r="M101" t="inlineStr">
        <is>
          <t>Participa de forma regular y entrega con calidad suficiente.</t>
        </is>
      </c>
    </row>
    <row r="102">
      <c r="A102" t="inlineStr">
        <is>
          <t>ALU-021</t>
        </is>
      </c>
      <c r="B102" t="inlineStr">
        <is>
          <t>Paula Romero</t>
        </is>
      </c>
      <c r="C102" t="inlineStr">
        <is>
          <t>Cálculo Numérico</t>
        </is>
      </c>
      <c r="D102" t="inlineStr">
        <is>
          <t>G2</t>
        </is>
      </c>
      <c r="E102">
        <v>6.1</v>
      </c>
      <c r="F102">
        <v>6.0</v>
      </c>
      <c r="G102">
        <v>6.7</v>
      </c>
      <c r="H102">
        <v>5.8</v>
      </c>
      <c r="I102">
        <v>92</v>
      </c>
      <c r="J102">
        <v>0</v>
      </c>
      <c r="K102">
        <f>MAX(0,MIN(10,ROUND(E102*0.20+F102*0.25+G102*0.25+H102*0.25+I102/100*0.50-J102*0.15,1)))</f>
        <v>6.3</v>
      </c>
      <c r="L102" t="str">
        <f>IF(K102&gt;=5,"Apto","No apto")</f>
        <v>Apto</v>
      </c>
      <c r="M102" t="inlineStr">
        <is>
          <t>Buen trabajo en prácticas, con margen en la argumentación.</t>
        </is>
      </c>
    </row>
    <row r="103">
      <c r="A103" t="inlineStr">
        <is>
          <t>ALU-021</t>
        </is>
      </c>
      <c r="B103" t="inlineStr">
        <is>
          <t>Paula Romero</t>
        </is>
      </c>
      <c r="C103" t="inlineStr">
        <is>
          <t>Sistemas Digitales</t>
        </is>
      </c>
      <c r="D103" t="inlineStr">
        <is>
          <t>G3</t>
        </is>
      </c>
      <c r="E103">
        <v>6.4</v>
      </c>
      <c r="F103">
        <v>6.8</v>
      </c>
      <c r="G103">
        <v>5.6</v>
      </c>
      <c r="H103">
        <v>6.6</v>
      </c>
      <c r="I103">
        <v>99</v>
      </c>
      <c r="J103">
        <v>0</v>
      </c>
      <c r="K103">
        <f>MAX(0,MIN(10,ROUND(E103*0.20+F103*0.25+G103*0.25+H103*0.25+I103/100*0.50-J103*0.15,1)))</f>
        <v>6.5</v>
      </c>
      <c r="L103" t="str">
        <f>IF(K103&gt;=5,"Apto","No apto")</f>
        <v>Apto</v>
      </c>
      <c r="M103" t="inlineStr">
        <is>
          <t>Rendimiento irregular: muy dependiente de la evaluación continua.</t>
        </is>
      </c>
    </row>
    <row r="104">
      <c r="A104" t="inlineStr">
        <is>
          <t>ALU-021</t>
        </is>
      </c>
      <c r="B104" t="inlineStr">
        <is>
          <t>Paula Romero</t>
        </is>
      </c>
      <c r="C104" t="inlineStr">
        <is>
          <t>Termodinámica Aplicada</t>
        </is>
      </c>
      <c r="D104" t="inlineStr">
        <is>
          <t>G4</t>
        </is>
      </c>
      <c r="E104">
        <v>4.5</v>
      </c>
      <c r="F104">
        <v>5.1</v>
      </c>
      <c r="G104">
        <v>3.6</v>
      </c>
      <c r="H104">
        <v>4.5</v>
      </c>
      <c r="I104">
        <v>95</v>
      </c>
      <c r="J104">
        <v>0</v>
      </c>
      <c r="K104">
        <f>MAX(0,MIN(10,ROUND(E104*0.20+F104*0.25+G104*0.25+H104*0.25+I104/100*0.50-J104*0.15,1)))</f>
        <v>4.7</v>
      </c>
      <c r="L104" t="str">
        <f>IF(K104&gt;=5,"Apto","No apto")</f>
        <v>No apto</v>
      </c>
      <c r="M104" t="inlineStr">
        <is>
          <t>No consolida los mínimos del segundo bloque.</t>
        </is>
      </c>
    </row>
    <row r="105">
      <c r="A105" t="inlineStr">
        <is>
          <t>ALU-021</t>
        </is>
      </c>
      <c r="B105" t="inlineStr">
        <is>
          <t>Paula Romero</t>
        </is>
      </c>
      <c r="C105" t="inlineStr">
        <is>
          <t>Robótica Móvil</t>
        </is>
      </c>
      <c r="D105" t="inlineStr">
        <is>
          <t>G1</t>
        </is>
      </c>
      <c r="E105">
        <v>7.6</v>
      </c>
      <c r="F105">
        <v>7.0</v>
      </c>
      <c r="G105">
        <v>7.4</v>
      </c>
      <c r="H105">
        <v>8.5</v>
      </c>
      <c r="I105">
        <v>100</v>
      </c>
      <c r="J105">
        <v>0</v>
      </c>
      <c r="K105">
        <f>MAX(0,MIN(10,ROUND(E105*0.20+F105*0.25+G105*0.25+H105*0.25+I105/100*0.50-J105*0.15,1)))</f>
        <v>7.7</v>
      </c>
      <c r="L105" t="str">
        <f>IF(K105&gt;=5,"Apto","No apto")</f>
        <v>Apto</v>
      </c>
      <c r="M105" t="inlineStr">
        <is>
          <t>Progreso estable; conviene reforzar la parte teórica.</t>
        </is>
      </c>
    </row>
    <row r="106">
      <c r="A106" t="inlineStr">
        <is>
          <t>ALU-021</t>
        </is>
      </c>
      <c r="B106" t="inlineStr">
        <is>
          <t>Paula Romero</t>
        </is>
      </c>
      <c r="C106" t="inlineStr">
        <is>
          <t>Redes Industriales</t>
        </is>
      </c>
      <c r="D106" t="inlineStr">
        <is>
          <t>G2</t>
        </is>
      </c>
      <c r="E106">
        <v>4.8</v>
      </c>
      <c r="F106">
        <v>6.8</v>
      </c>
      <c r="G106">
        <v>5.8</v>
      </c>
      <c r="H106">
        <v>6.1</v>
      </c>
      <c r="I106">
        <v>87</v>
      </c>
      <c r="J106">
        <v>0</v>
      </c>
      <c r="K106">
        <f>MAX(0,MIN(10,ROUND(E106*0.20+F106*0.25+G106*0.25+H106*0.25+I106/100*0.50-J106*0.15,1)))</f>
        <v>6.1</v>
      </c>
      <c r="L106" t="str">
        <f>IF(K106&gt;=5,"Apto","No apto")</f>
        <v>Apto</v>
      </c>
      <c r="M106" t="inlineStr">
        <is>
          <t>Pendiente de justificar una ausencia de laboratorio.</t>
        </is>
      </c>
    </row>
    <row r="107">
      <c r="A107" t="inlineStr">
        <is>
          <t>ALU-022</t>
        </is>
      </c>
      <c r="B107" t="inlineStr">
        <is>
          <t>Adrián Torres</t>
        </is>
      </c>
      <c r="C107" t="inlineStr">
        <is>
          <t>Cálculo Numérico</t>
        </is>
      </c>
      <c r="D107" t="inlineStr">
        <is>
          <t>G3</t>
        </is>
      </c>
      <c r="E107">
        <v>5.1</v>
      </c>
      <c r="F107">
        <v>5.3</v>
      </c>
      <c r="G107">
        <v>4.6</v>
      </c>
      <c r="H107">
        <v>6.0</v>
      </c>
      <c r="I107">
        <v>77</v>
      </c>
      <c r="J107">
        <v>0</v>
      </c>
      <c r="K107">
        <f>MAX(0,MIN(10,ROUND(E107*0.20+F107*0.25+G107*0.25+H107*0.25+I107/100*0.50-J107*0.15,1)))</f>
        <v>5.4</v>
      </c>
      <c r="L107" t="str">
        <f>IF(K107&gt;=5,"Apto","No apto")</f>
        <v>Apto</v>
      </c>
      <c r="M107" t="inlineStr">
        <is>
          <t>Pendiente de justificar una ausencia de laboratorio.</t>
        </is>
      </c>
    </row>
    <row r="108">
      <c r="A108" t="inlineStr">
        <is>
          <t>ALU-022</t>
        </is>
      </c>
      <c r="B108" t="inlineStr">
        <is>
          <t>Adrián Torres</t>
        </is>
      </c>
      <c r="C108" t="inlineStr">
        <is>
          <t>Sistemas Digitales</t>
        </is>
      </c>
      <c r="D108" t="inlineStr">
        <is>
          <t>G4</t>
        </is>
      </c>
      <c r="E108">
        <v>6.8</v>
      </c>
      <c r="F108">
        <v>5.5</v>
      </c>
      <c r="G108">
        <v>5.9</v>
      </c>
      <c r="H108">
        <v>5.0</v>
      </c>
      <c r="I108">
        <v>74</v>
      </c>
      <c r="J108">
        <v>0</v>
      </c>
      <c r="K108">
        <f>MAX(0,MIN(10,ROUND(E108*0.20+F108*0.25+G108*0.25+H108*0.25+I108/100*0.50-J108*0.15,1)))</f>
        <v>5.8</v>
      </c>
      <c r="L108" t="str">
        <f>IF(K108&gt;=5,"Apto","No apto")</f>
        <v>Apto</v>
      </c>
      <c r="M108" t="inlineStr">
        <is>
          <t>Resultados sólidos, especialmente en proyecto.</t>
        </is>
      </c>
    </row>
    <row r="109">
      <c r="A109" t="inlineStr">
        <is>
          <t>ALU-022</t>
        </is>
      </c>
      <c r="B109" t="inlineStr">
        <is>
          <t>Adrián Torres</t>
        </is>
      </c>
      <c r="C109" t="inlineStr">
        <is>
          <t>Termodinámica Aplicada</t>
        </is>
      </c>
      <c r="D109" t="inlineStr">
        <is>
          <t>G1</t>
        </is>
      </c>
      <c r="E109">
        <v>5.8</v>
      </c>
      <c r="F109">
        <v>4.8</v>
      </c>
      <c r="G109">
        <v>4.7</v>
      </c>
      <c r="H109">
        <v>4.9</v>
      </c>
      <c r="I109">
        <v>73</v>
      </c>
      <c r="J109">
        <v>1</v>
      </c>
      <c r="K109">
        <f>MAX(0,MIN(10,ROUND(E109*0.20+F109*0.25+G109*0.25+H109*0.25+I109/100*0.50-J109*0.15,1)))</f>
        <v>5.0</v>
      </c>
      <c r="L109" t="str">
        <f>IF(K109&gt;=5,"Apto","No apto")</f>
        <v>Apto</v>
      </c>
      <c r="M109" t="inlineStr">
        <is>
          <t>Mejora clara respecto al primer parcial.</t>
        </is>
      </c>
    </row>
    <row r="110">
      <c r="A110" t="inlineStr">
        <is>
          <t>ALU-022</t>
        </is>
      </c>
      <c r="B110" t="inlineStr">
        <is>
          <t>Adrián Torres</t>
        </is>
      </c>
      <c r="C110" t="inlineStr">
        <is>
          <t>Robótica Móvil</t>
        </is>
      </c>
      <c r="D110" t="inlineStr">
        <is>
          <t>G2</t>
        </is>
      </c>
      <c r="E110">
        <v>5.9</v>
      </c>
      <c r="F110">
        <v>7.8</v>
      </c>
      <c r="G110">
        <v>6.7</v>
      </c>
      <c r="H110">
        <v>7.6</v>
      </c>
      <c r="I110">
        <v>80</v>
      </c>
      <c r="J110">
        <v>0</v>
      </c>
      <c r="K110">
        <f>MAX(0,MIN(10,ROUND(E110*0.20+F110*0.25+G110*0.25+H110*0.25+I110/100*0.50-J110*0.15,1)))</f>
        <v>7.1</v>
      </c>
      <c r="L110" t="str">
        <f>IF(K110&gt;=5,"Apto","No apto")</f>
        <v>Apto</v>
      </c>
      <c r="M110" t="inlineStr">
        <is>
          <t>Participa de forma regular y entrega con calidad suficiente.</t>
        </is>
      </c>
    </row>
    <row r="111">
      <c r="A111" t="inlineStr">
        <is>
          <t>ALU-022</t>
        </is>
      </c>
      <c r="B111" t="inlineStr">
        <is>
          <t>Adrián Torres</t>
        </is>
      </c>
      <c r="C111" t="inlineStr">
        <is>
          <t>Redes Industriales</t>
        </is>
      </c>
      <c r="D111" t="inlineStr">
        <is>
          <t>G3</t>
        </is>
      </c>
      <c r="E111">
        <v>7.6</v>
      </c>
      <c r="F111">
        <v>7.4</v>
      </c>
      <c r="G111">
        <v>6.4</v>
      </c>
      <c r="H111">
        <v>7.4</v>
      </c>
      <c r="I111">
        <v>65</v>
      </c>
      <c r="J111">
        <v>2</v>
      </c>
      <c r="K111">
        <f>MAX(0,MIN(10,ROUND(E111*0.20+F111*0.25+G111*0.25+H111*0.25+I111/100*0.50-J111*0.15,1)))</f>
        <v>6.8</v>
      </c>
      <c r="L111" t="str">
        <f>IF(K111&gt;=5,"Apto","No apto")</f>
        <v>Apto</v>
      </c>
      <c r="M111" t="inlineStr">
        <is>
          <t>Buen trabajo en prácticas, con margen en la argumentación.</t>
        </is>
      </c>
    </row>
    <row r="112">
      <c r="A112" t="inlineStr">
        <is>
          <t>ALU-023</t>
        </is>
      </c>
      <c r="B112" t="inlineStr">
        <is>
          <t>Inés Medina</t>
        </is>
      </c>
      <c r="C112" t="inlineStr">
        <is>
          <t>Cálculo Numérico</t>
        </is>
      </c>
      <c r="D112" t="inlineStr">
        <is>
          <t>G4</t>
        </is>
      </c>
      <c r="E112">
        <v>7.8</v>
      </c>
      <c r="F112">
        <v>7.9</v>
      </c>
      <c r="G112">
        <v>6.4</v>
      </c>
      <c r="H112">
        <v>7.5</v>
      </c>
      <c r="I112">
        <v>90</v>
      </c>
      <c r="J112">
        <v>0</v>
      </c>
      <c r="K112">
        <f>MAX(0,MIN(10,ROUND(E112*0.20+F112*0.25+G112*0.25+H112*0.25+I112/100*0.50-J112*0.15,1)))</f>
        <v>7.5</v>
      </c>
      <c r="L112" t="str">
        <f>IF(K112&gt;=5,"Apto","No apto")</f>
        <v>Apto</v>
      </c>
      <c r="M112" t="inlineStr">
        <is>
          <t>Mejora clara respecto al primer parcial.</t>
        </is>
      </c>
    </row>
    <row r="113">
      <c r="A113" t="inlineStr">
        <is>
          <t>ALU-023</t>
        </is>
      </c>
      <c r="B113" t="inlineStr">
        <is>
          <t>Inés Medina</t>
        </is>
      </c>
      <c r="C113" t="inlineStr">
        <is>
          <t>Sistemas Digitales</t>
        </is>
      </c>
      <c r="D113" t="inlineStr">
        <is>
          <t>G1</t>
        </is>
      </c>
      <c r="E113">
        <v>7.2</v>
      </c>
      <c r="F113">
        <v>7.1</v>
      </c>
      <c r="G113">
        <v>6.4</v>
      </c>
      <c r="H113">
        <v>6.7</v>
      </c>
      <c r="I113">
        <v>78</v>
      </c>
      <c r="J113">
        <v>0</v>
      </c>
      <c r="K113">
        <f>MAX(0,MIN(10,ROUND(E113*0.20+F113*0.25+G113*0.25+H113*0.25+I113/100*0.50-J113*0.15,1)))</f>
        <v>6.9</v>
      </c>
      <c r="L113" t="str">
        <f>IF(K113&gt;=5,"Apto","No apto")</f>
        <v>Apto</v>
      </c>
      <c r="M113" t="inlineStr">
        <is>
          <t>Rendimiento irregular: muy dependiente de la evaluación continua.</t>
        </is>
      </c>
    </row>
    <row r="114">
      <c r="A114" t="inlineStr">
        <is>
          <t>ALU-023</t>
        </is>
      </c>
      <c r="B114" t="inlineStr">
        <is>
          <t>Inés Medina</t>
        </is>
      </c>
      <c r="C114" t="inlineStr">
        <is>
          <t>Termodinámica Aplicada</t>
        </is>
      </c>
      <c r="D114" t="inlineStr">
        <is>
          <t>G2</t>
        </is>
      </c>
      <c r="E114">
        <v>6.4</v>
      </c>
      <c r="F114">
        <v>5.7</v>
      </c>
      <c r="G114">
        <v>5.4</v>
      </c>
      <c r="H114">
        <v>6.1</v>
      </c>
      <c r="I114">
        <v>75</v>
      </c>
      <c r="J114">
        <v>1</v>
      </c>
      <c r="K114">
        <f>MAX(0,MIN(10,ROUND(E114*0.20+F114*0.25+G114*0.25+H114*0.25+I114/100*0.50-J114*0.15,1)))</f>
        <v>5.8</v>
      </c>
      <c r="L114" t="str">
        <f>IF(K114&gt;=5,"Apto","No apto")</f>
        <v>Apto</v>
      </c>
      <c r="M114" t="inlineStr">
        <is>
          <t>Resultados sólidos, especialmente en proyecto.</t>
        </is>
      </c>
    </row>
    <row r="115">
      <c r="A115" t="inlineStr">
        <is>
          <t>ALU-023</t>
        </is>
      </c>
      <c r="B115" t="inlineStr">
        <is>
          <t>Inés Medina</t>
        </is>
      </c>
      <c r="C115" t="inlineStr">
        <is>
          <t>Robótica Móvil</t>
        </is>
      </c>
      <c r="D115" t="inlineStr">
        <is>
          <t>G3</t>
        </is>
      </c>
      <c r="E115">
        <v>8.2</v>
      </c>
      <c r="F115">
        <v>8.0</v>
      </c>
      <c r="G115">
        <v>8.0</v>
      </c>
      <c r="H115">
        <v>8.9</v>
      </c>
      <c r="I115">
        <v>85</v>
      </c>
      <c r="J115">
        <v>1</v>
      </c>
      <c r="K115">
        <f>MAX(0,MIN(10,ROUND(E115*0.20+F115*0.25+G115*0.25+H115*0.25+I115/100*0.50-J115*0.15,1)))</f>
        <v>8.1</v>
      </c>
      <c r="L115" t="str">
        <f>IF(K115&gt;=5,"Apto","No apto")</f>
        <v>Apto</v>
      </c>
      <c r="M115" t="inlineStr">
        <is>
          <t>Rendimiento irregular: muy dependiente de la evaluación continua.</t>
        </is>
      </c>
    </row>
    <row r="116">
      <c r="A116" t="inlineStr">
        <is>
          <t>ALU-023</t>
        </is>
      </c>
      <c r="B116" t="inlineStr">
        <is>
          <t>Inés Medina</t>
        </is>
      </c>
      <c r="C116" t="inlineStr">
        <is>
          <t>Redes Industriales</t>
        </is>
      </c>
      <c r="D116" t="inlineStr">
        <is>
          <t>G4</t>
        </is>
      </c>
      <c r="E116">
        <v>7.2</v>
      </c>
      <c r="F116">
        <v>7.0</v>
      </c>
      <c r="G116">
        <v>6.1</v>
      </c>
      <c r="H116">
        <v>8.5</v>
      </c>
      <c r="I116">
        <v>89</v>
      </c>
      <c r="J116">
        <v>0</v>
      </c>
      <c r="K116">
        <f>MAX(0,MIN(10,ROUND(E116*0.20+F116*0.25+G116*0.25+H116*0.25+I116/100*0.50-J116*0.15,1)))</f>
        <v>7.3</v>
      </c>
      <c r="L116" t="str">
        <f>IF(K116&gt;=5,"Apto","No apto")</f>
        <v>Apto</v>
      </c>
      <c r="M116" t="inlineStr">
        <is>
          <t>Progreso estable; conviene reforzar la parte teórica.</t>
        </is>
      </c>
    </row>
    <row r="117">
      <c r="A117" t="inlineStr">
        <is>
          <t>ALU-024</t>
        </is>
      </c>
      <c r="B117" t="inlineStr">
        <is>
          <t>Víctor Cano</t>
        </is>
      </c>
      <c r="C117" t="inlineStr">
        <is>
          <t>Cálculo Numérico</t>
        </is>
      </c>
      <c r="D117" t="inlineStr">
        <is>
          <t>G1</t>
        </is>
      </c>
      <c r="E117">
        <v>5.4</v>
      </c>
      <c r="F117">
        <v>4.8</v>
      </c>
      <c r="G117">
        <v>4.2</v>
      </c>
      <c r="H117">
        <v>3.4</v>
      </c>
      <c r="I117">
        <v>98</v>
      </c>
      <c r="J117">
        <v>0</v>
      </c>
      <c r="K117">
        <f>MAX(0,MIN(10,ROUND(E117*0.20+F117*0.25+G117*0.25+H117*0.25+I117/100*0.50-J117*0.15,1)))</f>
        <v>4.7</v>
      </c>
      <c r="L117" t="str">
        <f>IF(K117&gt;=5,"Apto","No apto")</f>
        <v>No apto</v>
      </c>
      <c r="M117" t="inlineStr">
        <is>
          <t>No consolida los mínimos del segundo bloque.</t>
        </is>
      </c>
    </row>
    <row r="118">
      <c r="A118" t="inlineStr">
        <is>
          <t>ALU-024</t>
        </is>
      </c>
      <c r="B118" t="inlineStr">
        <is>
          <t>Víctor Cano</t>
        </is>
      </c>
      <c r="C118" t="inlineStr">
        <is>
          <t>Sistemas Digitales</t>
        </is>
      </c>
      <c r="D118" t="inlineStr">
        <is>
          <t>G2</t>
        </is>
      </c>
      <c r="E118">
        <v>6.6</v>
      </c>
      <c r="F118">
        <v>6.4</v>
      </c>
      <c r="G118">
        <v>4.8</v>
      </c>
      <c r="H118">
        <v>7.0</v>
      </c>
      <c r="I118">
        <v>99</v>
      </c>
      <c r="J118">
        <v>0</v>
      </c>
      <c r="K118">
        <f>MAX(0,MIN(10,ROUND(E118*0.20+F118*0.25+G118*0.25+H118*0.25+I118/100*0.50-J118*0.15,1)))</f>
        <v>6.4</v>
      </c>
      <c r="L118" t="str">
        <f>IF(K118&gt;=5,"Apto","No apto")</f>
        <v>Apto</v>
      </c>
      <c r="M118" t="inlineStr">
        <is>
          <t>Resultados sólidos, especialmente en proyecto.</t>
        </is>
      </c>
    </row>
    <row r="119">
      <c r="A119" t="inlineStr">
        <is>
          <t>ALU-024</t>
        </is>
      </c>
      <c r="B119" t="inlineStr">
        <is>
          <t>Víctor Cano</t>
        </is>
      </c>
      <c r="C119" t="inlineStr">
        <is>
          <t>Termodinámica Aplicada</t>
        </is>
      </c>
      <c r="D119" t="inlineStr">
        <is>
          <t>G3</t>
        </is>
      </c>
      <c r="E119">
        <v>5.8</v>
      </c>
      <c r="F119">
        <v>4.5</v>
      </c>
      <c r="G119">
        <v>3.2</v>
      </c>
      <c r="H119">
        <v>3.5</v>
      </c>
      <c r="I119">
        <v>85</v>
      </c>
      <c r="J119">
        <v>0</v>
      </c>
      <c r="K119">
        <f>MAX(0,MIN(10,ROUND(E119*0.20+F119*0.25+G119*0.25+H119*0.25+I119/100*0.50-J119*0.15,1)))</f>
        <v>4.4</v>
      </c>
      <c r="L119" t="str">
        <f>IF(K119&gt;=5,"Apto","No apto")</f>
        <v>No apto</v>
      </c>
      <c r="M119" t="inlineStr">
        <is>
          <t>Parciales insuficientes pese a cumplir algunas prácticas.</t>
        </is>
      </c>
    </row>
    <row r="120">
      <c r="A120" t="inlineStr">
        <is>
          <t>ALU-024</t>
        </is>
      </c>
      <c r="B120" t="inlineStr">
        <is>
          <t>Víctor Cano</t>
        </is>
      </c>
      <c r="C120" t="inlineStr">
        <is>
          <t>Robótica Móvil</t>
        </is>
      </c>
      <c r="D120" t="inlineStr">
        <is>
          <t>G4</t>
        </is>
      </c>
      <c r="E120">
        <v>6.7</v>
      </c>
      <c r="F120">
        <v>7.4</v>
      </c>
      <c r="G120">
        <v>6.3</v>
      </c>
      <c r="H120">
        <v>7.2</v>
      </c>
      <c r="I120">
        <v>100</v>
      </c>
      <c r="J120">
        <v>0</v>
      </c>
      <c r="K120">
        <f>MAX(0,MIN(10,ROUND(E120*0.20+F120*0.25+G120*0.25+H120*0.25+I120/100*0.50-J120*0.15,1)))</f>
        <v>7.1</v>
      </c>
      <c r="L120" t="str">
        <f>IF(K120&gt;=5,"Apto","No apto")</f>
        <v>Apto</v>
      </c>
      <c r="M120" t="inlineStr">
        <is>
          <t>Buen trabajo en prácticas, con margen en la argumentación.</t>
        </is>
      </c>
    </row>
    <row r="121">
      <c r="A121" t="inlineStr">
        <is>
          <t>ALU-024</t>
        </is>
      </c>
      <c r="B121" t="inlineStr">
        <is>
          <t>Víctor Cano</t>
        </is>
      </c>
      <c r="C121" t="inlineStr">
        <is>
          <t>Redes Industriales</t>
        </is>
      </c>
      <c r="D121" t="inlineStr">
        <is>
          <t>G1</t>
        </is>
      </c>
      <c r="E121">
        <v>5.9</v>
      </c>
      <c r="F121">
        <v>6.7</v>
      </c>
      <c r="G121">
        <v>6.2</v>
      </c>
      <c r="H121">
        <v>5.9</v>
      </c>
      <c r="I121">
        <v>71</v>
      </c>
      <c r="J121">
        <v>1</v>
      </c>
      <c r="K121">
        <f>MAX(0,MIN(10,ROUND(E121*0.20+F121*0.25+G121*0.25+H121*0.25+I121/100*0.50-J121*0.15,1)))</f>
        <v>6.1</v>
      </c>
      <c r="L121" t="str">
        <f>IF(K121&gt;=5,"Apto","No apto")</f>
        <v>Apto</v>
      </c>
      <c r="M121" t="inlineStr">
        <is>
          <t>Resultados sólidos, especialmente en proyecto.</t>
        </is>
      </c>
    </row>
    <row r="122">
      <c r="A122" t="inlineStr">
        <is>
          <t>ALU-025</t>
        </is>
      </c>
      <c r="B122" t="inlineStr">
        <is>
          <t>Laura Prieto</t>
        </is>
      </c>
      <c r="C122" t="inlineStr">
        <is>
          <t>Cálculo Numérico</t>
        </is>
      </c>
      <c r="D122" t="inlineStr">
        <is>
          <t>G2</t>
        </is>
      </c>
      <c r="E122">
        <v>5.5</v>
      </c>
      <c r="F122">
        <v>4.9</v>
      </c>
      <c r="G122">
        <v>6.5</v>
      </c>
      <c r="H122">
        <v>4.6</v>
      </c>
      <c r="I122">
        <v>92</v>
      </c>
      <c r="J122">
        <v>0</v>
      </c>
      <c r="K122">
        <f>MAX(0,MIN(10,ROUND(E122*0.20+F122*0.25+G122*0.25+H122*0.25+I122/100*0.50-J122*0.15,1)))</f>
        <v>5.6</v>
      </c>
      <c r="L122" t="str">
        <f>IF(K122&gt;=5,"Apto","No apto")</f>
        <v>Apto</v>
      </c>
      <c r="M122" t="inlineStr">
        <is>
          <t>Participa de forma regular y entrega con calidad suficiente.</t>
        </is>
      </c>
    </row>
    <row r="123">
      <c r="A123" t="inlineStr">
        <is>
          <t>ALU-025</t>
        </is>
      </c>
      <c r="B123" t="inlineStr">
        <is>
          <t>Laura Prieto</t>
        </is>
      </c>
      <c r="C123" t="inlineStr">
        <is>
          <t>Sistemas Digitales</t>
        </is>
      </c>
      <c r="D123" t="inlineStr">
        <is>
          <t>G3</t>
        </is>
      </c>
      <c r="E123">
        <v>6.7</v>
      </c>
      <c r="F123">
        <v>5.2</v>
      </c>
      <c r="G123">
        <v>5.3</v>
      </c>
      <c r="H123">
        <v>6.1</v>
      </c>
      <c r="I123">
        <v>90</v>
      </c>
      <c r="J123">
        <v>0</v>
      </c>
      <c r="K123">
        <f>MAX(0,MIN(10,ROUND(E123*0.20+F123*0.25+G123*0.25+H123*0.25+I123/100*0.50-J123*0.15,1)))</f>
        <v>5.9</v>
      </c>
      <c r="L123" t="str">
        <f>IF(K123&gt;=5,"Apto","No apto")</f>
        <v>Apto</v>
      </c>
      <c r="M123" t="inlineStr">
        <is>
          <t>Participa de forma regular y entrega con calidad suficiente.</t>
        </is>
      </c>
    </row>
    <row r="124">
      <c r="A124" t="inlineStr">
        <is>
          <t>ALU-025</t>
        </is>
      </c>
      <c r="B124" t="inlineStr">
        <is>
          <t>Laura Prieto</t>
        </is>
      </c>
      <c r="C124" t="inlineStr">
        <is>
          <t>Termodinámica Aplicada</t>
        </is>
      </c>
      <c r="D124" t="inlineStr">
        <is>
          <t>G4</t>
        </is>
      </c>
      <c r="E124">
        <v>4.2</v>
      </c>
      <c r="F124">
        <v>3.0</v>
      </c>
      <c r="G124">
        <v>4.9</v>
      </c>
      <c r="H124">
        <v>3.9</v>
      </c>
      <c r="I124">
        <v>70</v>
      </c>
      <c r="J124">
        <v>0</v>
      </c>
      <c r="K124">
        <f>MAX(0,MIN(10,ROUND(E124*0.20+F124*0.25+G124*0.25+H124*0.25+I124/100*0.50-J124*0.15,1)))</f>
        <v>4.1</v>
      </c>
      <c r="L124" t="str">
        <f>IF(K124&gt;=5,"Apto","No apto")</f>
        <v>No apto</v>
      </c>
      <c r="M124" t="inlineStr">
        <is>
          <t>Asistencia baja y entregas incompletas afectan a la nota.</t>
        </is>
      </c>
    </row>
    <row r="125">
      <c r="A125" t="inlineStr">
        <is>
          <t>ALU-025</t>
        </is>
      </c>
      <c r="B125" t="inlineStr">
        <is>
          <t>Laura Prieto</t>
        </is>
      </c>
      <c r="C125" t="inlineStr">
        <is>
          <t>Robótica Móvil</t>
        </is>
      </c>
      <c r="D125" t="inlineStr">
        <is>
          <t>G1</t>
        </is>
      </c>
      <c r="E125">
        <v>6.8</v>
      </c>
      <c r="F125">
        <v>6.7</v>
      </c>
      <c r="G125">
        <v>7.2</v>
      </c>
      <c r="H125">
        <v>7.2</v>
      </c>
      <c r="I125">
        <v>95</v>
      </c>
      <c r="J125">
        <v>0</v>
      </c>
      <c r="K125">
        <f>MAX(0,MIN(10,ROUND(E125*0.20+F125*0.25+G125*0.25+H125*0.25+I125/100*0.50-J125*0.15,1)))</f>
        <v>7.1</v>
      </c>
      <c r="L125" t="str">
        <f>IF(K125&gt;=5,"Apto","No apto")</f>
        <v>Apto</v>
      </c>
      <c r="M125" t="inlineStr">
        <is>
          <t>Mejora clara respecto al primer parcial.</t>
        </is>
      </c>
    </row>
    <row r="126">
      <c r="A126" t="inlineStr">
        <is>
          <t>ALU-025</t>
        </is>
      </c>
      <c r="B126" t="inlineStr">
        <is>
          <t>Laura Prieto</t>
        </is>
      </c>
      <c r="C126" t="inlineStr">
        <is>
          <t>Redes Industriales</t>
        </is>
      </c>
      <c r="D126" t="inlineStr">
        <is>
          <t>G2</t>
        </is>
      </c>
      <c r="E126">
        <v>6.3</v>
      </c>
      <c r="F126">
        <v>5.5</v>
      </c>
      <c r="G126">
        <v>6.0</v>
      </c>
      <c r="H126">
        <v>6.8</v>
      </c>
      <c r="I126">
        <v>87</v>
      </c>
      <c r="J126">
        <v>0</v>
      </c>
      <c r="K126">
        <f>MAX(0,MIN(10,ROUND(E126*0.20+F126*0.25+G126*0.25+H126*0.25+I126/100*0.50-J126*0.15,1)))</f>
        <v>6.3</v>
      </c>
      <c r="L126" t="str">
        <f>IF(K126&gt;=5,"Apto","No apto")</f>
        <v>Apto</v>
      </c>
      <c r="M126" t="inlineStr">
        <is>
          <t>Rendimiento irregular: muy dependiente de la evaluación continua.</t>
        </is>
      </c>
    </row>
    <row r="127">
      <c r="A127" t="inlineStr">
        <is>
          <t>ALU-026</t>
        </is>
      </c>
      <c r="B127" t="inlineStr">
        <is>
          <t>Óscar Flores</t>
        </is>
      </c>
      <c r="C127" t="inlineStr">
        <is>
          <t>Cálculo Numérico</t>
        </is>
      </c>
      <c r="D127" t="inlineStr">
        <is>
          <t>G3</t>
        </is>
      </c>
      <c r="E127">
        <v>7.1</v>
      </c>
      <c r="F127">
        <v>6.9</v>
      </c>
      <c r="G127">
        <v>6.9</v>
      </c>
      <c r="H127">
        <v>7.2</v>
      </c>
      <c r="I127">
        <v>90</v>
      </c>
      <c r="J127">
        <v>1</v>
      </c>
      <c r="K127">
        <f>MAX(0,MIN(10,ROUND(E127*0.20+F127*0.25+G127*0.25+H127*0.25+I127/100*0.50-J127*0.15,1)))</f>
        <v>7.0</v>
      </c>
      <c r="L127" t="str">
        <f>IF(K127&gt;=5,"Apto","No apto")</f>
        <v>Apto</v>
      </c>
      <c r="M127" t="inlineStr">
        <is>
          <t>Buen trabajo en prácticas, con margen en la argumentación.</t>
        </is>
      </c>
    </row>
    <row r="128">
      <c r="A128" t="inlineStr">
        <is>
          <t>ALU-026</t>
        </is>
      </c>
      <c r="B128" t="inlineStr">
        <is>
          <t>Óscar Flores</t>
        </is>
      </c>
      <c r="C128" t="inlineStr">
        <is>
          <t>Sistemas Digitales</t>
        </is>
      </c>
      <c r="D128" t="inlineStr">
        <is>
          <t>G4</t>
        </is>
      </c>
      <c r="E128">
        <v>7.4</v>
      </c>
      <c r="F128">
        <v>6.5</v>
      </c>
      <c r="G128">
        <v>6.1</v>
      </c>
      <c r="H128">
        <v>7.3</v>
      </c>
      <c r="I128">
        <v>97</v>
      </c>
      <c r="J128">
        <v>1</v>
      </c>
      <c r="K128">
        <f>MAX(0,MIN(10,ROUND(E128*0.20+F128*0.25+G128*0.25+H128*0.25+I128/100*0.50-J128*0.15,1)))</f>
        <v>6.8</v>
      </c>
      <c r="L128" t="str">
        <f>IF(K128&gt;=5,"Apto","No apto")</f>
        <v>Apto</v>
      </c>
      <c r="M128" t="inlineStr">
        <is>
          <t>Resultados sólidos, especialmente en proyecto.</t>
        </is>
      </c>
    </row>
    <row r="129">
      <c r="A129" t="inlineStr">
        <is>
          <t>ALU-026</t>
        </is>
      </c>
      <c r="B129" t="inlineStr">
        <is>
          <t>Óscar Flores</t>
        </is>
      </c>
      <c r="C129" t="inlineStr">
        <is>
          <t>Termodinámica Aplicada</t>
        </is>
      </c>
      <c r="D129" t="inlineStr">
        <is>
          <t>G1</t>
        </is>
      </c>
      <c r="E129">
        <v>6.6</v>
      </c>
      <c r="F129">
        <v>5.5</v>
      </c>
      <c r="G129">
        <v>4.9</v>
      </c>
      <c r="H129">
        <v>6.5</v>
      </c>
      <c r="I129">
        <v>83</v>
      </c>
      <c r="J129">
        <v>0</v>
      </c>
      <c r="K129">
        <f>MAX(0,MIN(10,ROUND(E129*0.20+F129*0.25+G129*0.25+H129*0.25+I129/100*0.50-J129*0.15,1)))</f>
        <v>6.0</v>
      </c>
      <c r="L129" t="str">
        <f>IF(K129&gt;=5,"Apto","No apto")</f>
        <v>Apto</v>
      </c>
      <c r="M129" t="inlineStr">
        <is>
          <t>Resultados sólidos, especialmente en proyecto.</t>
        </is>
      </c>
    </row>
    <row r="130">
      <c r="A130" t="inlineStr">
        <is>
          <t>ALU-026</t>
        </is>
      </c>
      <c r="B130" t="inlineStr">
        <is>
          <t>Óscar Flores</t>
        </is>
      </c>
      <c r="C130" t="inlineStr">
        <is>
          <t>Robótica Móvil</t>
        </is>
      </c>
      <c r="D130" t="inlineStr">
        <is>
          <t>G2</t>
        </is>
      </c>
      <c r="E130">
        <v>8.0</v>
      </c>
      <c r="F130">
        <v>7.1</v>
      </c>
      <c r="G130">
        <v>7.4</v>
      </c>
      <c r="H130">
        <v>8.5</v>
      </c>
      <c r="I130">
        <v>99</v>
      </c>
      <c r="J130">
        <v>0</v>
      </c>
      <c r="K130">
        <f>MAX(0,MIN(10,ROUND(E130*0.20+F130*0.25+G130*0.25+H130*0.25+I130/100*0.50-J130*0.15,1)))</f>
        <v>7.8</v>
      </c>
      <c r="L130" t="str">
        <f>IF(K130&gt;=5,"Apto","No apto")</f>
        <v>Apto</v>
      </c>
      <c r="M130" t="inlineStr">
        <is>
          <t>Participa de forma regular y entrega con calidad suficiente.</t>
        </is>
      </c>
    </row>
    <row r="131">
      <c r="A131" t="inlineStr">
        <is>
          <t>ALU-026</t>
        </is>
      </c>
      <c r="B131" t="inlineStr">
        <is>
          <t>Óscar Flores</t>
        </is>
      </c>
      <c r="C131" t="inlineStr">
        <is>
          <t>Redes Industriales</t>
        </is>
      </c>
      <c r="D131" t="inlineStr">
        <is>
          <t>G3</t>
        </is>
      </c>
      <c r="E131">
        <v>7.5</v>
      </c>
      <c r="F131">
        <v>7.5</v>
      </c>
      <c r="G131">
        <v>6.8</v>
      </c>
      <c r="H131">
        <v>8.1</v>
      </c>
      <c r="I131">
        <v>91</v>
      </c>
      <c r="J131">
        <v>0</v>
      </c>
      <c r="K131">
        <f>MAX(0,MIN(10,ROUND(E131*0.20+F131*0.25+G131*0.25+H131*0.25+I131/100*0.50-J131*0.15,1)))</f>
        <v>7.6</v>
      </c>
      <c r="L131" t="str">
        <f>IF(K131&gt;=5,"Apto","No apto")</f>
        <v>Apto</v>
      </c>
      <c r="M131" t="inlineStr">
        <is>
          <t>Resultados sólidos, especialmente en proyecto.</t>
        </is>
      </c>
    </row>
    <row r="132">
      <c r="A132" t="inlineStr">
        <is>
          <t>ALU-027</t>
        </is>
      </c>
      <c r="B132" t="inlineStr">
        <is>
          <t>Eva Herrero</t>
        </is>
      </c>
      <c r="C132" t="inlineStr">
        <is>
          <t>Cálculo Numérico</t>
        </is>
      </c>
      <c r="D132" t="inlineStr">
        <is>
          <t>G4</t>
        </is>
      </c>
      <c r="E132">
        <v>3.8</v>
      </c>
      <c r="F132">
        <v>2.9</v>
      </c>
      <c r="G132">
        <v>4.3</v>
      </c>
      <c r="H132">
        <v>3.5</v>
      </c>
      <c r="I132">
        <v>80</v>
      </c>
      <c r="J132">
        <v>1</v>
      </c>
      <c r="K132">
        <f>MAX(0,MIN(10,ROUND(E132*0.20+F132*0.25+G132*0.25+H132*0.25+I132/100*0.50-J132*0.15,1)))</f>
        <v>3.7</v>
      </c>
      <c r="L132" t="str">
        <f>IF(K132&gt;=5,"Apto","No apto")</f>
        <v>No apto</v>
      </c>
      <c r="M132" t="inlineStr">
        <is>
          <t>Parciales insuficientes pese a cumplir algunas prácticas.</t>
        </is>
      </c>
    </row>
    <row r="133">
      <c r="A133" t="inlineStr">
        <is>
          <t>ALU-027</t>
        </is>
      </c>
      <c r="B133" t="inlineStr">
        <is>
          <t>Eva Herrero</t>
        </is>
      </c>
      <c r="C133" t="inlineStr">
        <is>
          <t>Sistemas Digitales</t>
        </is>
      </c>
      <c r="D133" t="inlineStr">
        <is>
          <t>G1</t>
        </is>
      </c>
      <c r="E133">
        <v>4.7</v>
      </c>
      <c r="F133">
        <v>4.4</v>
      </c>
      <c r="G133">
        <v>5.6</v>
      </c>
      <c r="H133">
        <v>4.7</v>
      </c>
      <c r="I133">
        <v>83</v>
      </c>
      <c r="J133">
        <v>0</v>
      </c>
      <c r="K133">
        <f>MAX(0,MIN(10,ROUND(E133*0.20+F133*0.25+G133*0.25+H133*0.25+I133/100*0.50-J133*0.15,1)))</f>
        <v>5.0</v>
      </c>
      <c r="L133" t="str">
        <f>IF(K133&gt;=5,"Apto","No apto")</f>
        <v>Apto</v>
      </c>
      <c r="M133" t="inlineStr">
        <is>
          <t>Resultados sólidos, especialmente en proyecto.</t>
        </is>
      </c>
    </row>
    <row r="134">
      <c r="A134" t="inlineStr">
        <is>
          <t>ALU-027</t>
        </is>
      </c>
      <c r="B134" t="inlineStr">
        <is>
          <t>Eva Herrero</t>
        </is>
      </c>
      <c r="C134" t="inlineStr">
        <is>
          <t>Termodinámica Aplicada</t>
        </is>
      </c>
      <c r="D134" t="inlineStr">
        <is>
          <t>G2</t>
        </is>
      </c>
      <c r="E134">
        <v>3.2</v>
      </c>
      <c r="F134">
        <v>3.6</v>
      </c>
      <c r="G134">
        <v>3.0</v>
      </c>
      <c r="H134">
        <v>3.2</v>
      </c>
      <c r="I134">
        <v>78</v>
      </c>
      <c r="J134">
        <v>1</v>
      </c>
      <c r="K134">
        <f>MAX(0,MIN(10,ROUND(E134*0.20+F134*0.25+G134*0.25+H134*0.25+I134/100*0.50-J134*0.15,1)))</f>
        <v>3.3</v>
      </c>
      <c r="L134" t="str">
        <f>IF(K134&gt;=5,"Apto","No apto")</f>
        <v>No apto</v>
      </c>
      <c r="M134" t="inlineStr">
        <is>
          <t>Parciales insuficientes pese a cumplir algunas prácticas.</t>
        </is>
      </c>
    </row>
    <row r="135">
      <c r="A135" t="inlineStr">
        <is>
          <t>ALU-027</t>
        </is>
      </c>
      <c r="B135" t="inlineStr">
        <is>
          <t>Eva Herrero</t>
        </is>
      </c>
      <c r="C135" t="inlineStr">
        <is>
          <t>Robótica Móvil</t>
        </is>
      </c>
      <c r="D135" t="inlineStr">
        <is>
          <t>G3</t>
        </is>
      </c>
      <c r="E135">
        <v>5.8</v>
      </c>
      <c r="F135">
        <v>2.2</v>
      </c>
      <c r="G135">
        <v>5.1</v>
      </c>
      <c r="H135">
        <v>5.0</v>
      </c>
      <c r="I135">
        <v>79</v>
      </c>
      <c r="J135">
        <v>0</v>
      </c>
      <c r="K135">
        <f>MAX(0,MIN(10,ROUND(E135*0.20+F135*0.25+G135*0.25+H135*0.25+I135/100*0.50-J135*0.15,1)))</f>
        <v>4.6</v>
      </c>
      <c r="L135" t="str">
        <f>IF(K135&gt;=5,"Apto","No apto")</f>
        <v>No apto</v>
      </c>
      <c r="M135" t="inlineStr">
        <is>
          <t>No consolida los mínimos del segundo bloque.</t>
        </is>
      </c>
    </row>
    <row r="136">
      <c r="A136" t="inlineStr">
        <is>
          <t>ALU-027</t>
        </is>
      </c>
      <c r="B136" t="inlineStr">
        <is>
          <t>Eva Herrero</t>
        </is>
      </c>
      <c r="C136" t="inlineStr">
        <is>
          <t>Redes Industriales</t>
        </is>
      </c>
      <c r="D136" t="inlineStr">
        <is>
          <t>G4</t>
        </is>
      </c>
      <c r="E136">
        <v>4.4</v>
      </c>
      <c r="F136">
        <v>4.4</v>
      </c>
      <c r="G136">
        <v>4.3</v>
      </c>
      <c r="H136">
        <v>4.0</v>
      </c>
      <c r="I136">
        <v>77</v>
      </c>
      <c r="J136">
        <v>0</v>
      </c>
      <c r="K136">
        <f>MAX(0,MIN(10,ROUND(E136*0.20+F136*0.25+G136*0.25+H136*0.25+I136/100*0.50-J136*0.15,1)))</f>
        <v>4.4</v>
      </c>
      <c r="L136" t="str">
        <f>IF(K136&gt;=5,"Apto","No apto")</f>
        <v>No apto</v>
      </c>
      <c r="M136" t="inlineStr">
        <is>
          <t>Debe rehacer ejercicios base antes de la convocatoria final.</t>
        </is>
      </c>
    </row>
    <row r="137">
      <c r="A137" t="inlineStr">
        <is>
          <t>ALU-028</t>
        </is>
      </c>
      <c r="B137" t="inlineStr">
        <is>
          <t>Iván Soler</t>
        </is>
      </c>
      <c r="C137" t="inlineStr">
        <is>
          <t>Cálculo Numérico</t>
        </is>
      </c>
      <c r="D137" t="inlineStr">
        <is>
          <t>G1</t>
        </is>
      </c>
      <c r="E137">
        <v>6.0</v>
      </c>
      <c r="F137">
        <v>6.6</v>
      </c>
      <c r="G137">
        <v>6.7</v>
      </c>
      <c r="H137">
        <v>7.5</v>
      </c>
      <c r="I137">
        <v>90</v>
      </c>
      <c r="J137">
        <v>0</v>
      </c>
      <c r="K137">
        <f>MAX(0,MIN(10,ROUND(E137*0.20+F137*0.25+G137*0.25+H137*0.25+I137/100*0.50-J137*0.15,1)))</f>
        <v>6.9</v>
      </c>
      <c r="L137" t="str">
        <f>IF(K137&gt;=5,"Apto","No apto")</f>
        <v>Apto</v>
      </c>
      <c r="M137" t="inlineStr">
        <is>
          <t>Mejora clara respecto al primer parcial.</t>
        </is>
      </c>
    </row>
    <row r="138">
      <c r="A138" t="inlineStr">
        <is>
          <t>ALU-028</t>
        </is>
      </c>
      <c r="B138" t="inlineStr">
        <is>
          <t>Iván Soler</t>
        </is>
      </c>
      <c r="C138" t="inlineStr">
        <is>
          <t>Sistemas Digitales</t>
        </is>
      </c>
      <c r="D138" t="inlineStr">
        <is>
          <t>G2</t>
        </is>
      </c>
      <c r="E138">
        <v>7.1</v>
      </c>
      <c r="F138">
        <v>6.8</v>
      </c>
      <c r="G138">
        <v>6.0</v>
      </c>
      <c r="H138">
        <v>7.2</v>
      </c>
      <c r="I138">
        <v>87</v>
      </c>
      <c r="J138">
        <v>1</v>
      </c>
      <c r="K138">
        <f>MAX(0,MIN(10,ROUND(E138*0.20+F138*0.25+G138*0.25+H138*0.25+I138/100*0.50-J138*0.15,1)))</f>
        <v>6.7</v>
      </c>
      <c r="L138" t="str">
        <f>IF(K138&gt;=5,"Apto","No apto")</f>
        <v>Apto</v>
      </c>
      <c r="M138" t="inlineStr">
        <is>
          <t>Rendimiento irregular: muy dependiente de la evaluación continua.</t>
        </is>
      </c>
    </row>
    <row r="139">
      <c r="A139" t="inlineStr">
        <is>
          <t>ALU-028</t>
        </is>
      </c>
      <c r="B139" t="inlineStr">
        <is>
          <t>Iván Soler</t>
        </is>
      </c>
      <c r="C139" t="inlineStr">
        <is>
          <t>Termodinámica Aplicada</t>
        </is>
      </c>
      <c r="D139" t="inlineStr">
        <is>
          <t>G3</t>
        </is>
      </c>
      <c r="E139">
        <v>5.5</v>
      </c>
      <c r="F139">
        <v>4.5</v>
      </c>
      <c r="G139">
        <v>4.2</v>
      </c>
      <c r="H139">
        <v>5.3</v>
      </c>
      <c r="I139">
        <v>89</v>
      </c>
      <c r="J139">
        <v>0</v>
      </c>
      <c r="K139">
        <f>MAX(0,MIN(10,ROUND(E139*0.20+F139*0.25+G139*0.25+H139*0.25+I139/100*0.50-J139*0.15,1)))</f>
        <v>5.0</v>
      </c>
      <c r="L139" t="str">
        <f>IF(K139&gt;=5,"Apto","No apto")</f>
        <v>Apto</v>
      </c>
      <c r="M139" t="inlineStr">
        <is>
          <t>Resultados sólidos, especialmente en proyecto.</t>
        </is>
      </c>
    </row>
    <row r="140">
      <c r="A140" t="inlineStr">
        <is>
          <t>ALU-028</t>
        </is>
      </c>
      <c r="B140" t="inlineStr">
        <is>
          <t>Iván Soler</t>
        </is>
      </c>
      <c r="C140" t="inlineStr">
        <is>
          <t>Robótica Móvil</t>
        </is>
      </c>
      <c r="D140" t="inlineStr">
        <is>
          <t>G4</t>
        </is>
      </c>
      <c r="E140">
        <v>7.1</v>
      </c>
      <c r="F140">
        <v>6.8</v>
      </c>
      <c r="G140">
        <v>7.7</v>
      </c>
      <c r="H140">
        <v>8.3</v>
      </c>
      <c r="I140">
        <v>92</v>
      </c>
      <c r="J140">
        <v>0</v>
      </c>
      <c r="K140">
        <f>MAX(0,MIN(10,ROUND(E140*0.20+F140*0.25+G140*0.25+H140*0.25+I140/100*0.50-J140*0.15,1)))</f>
        <v>7.6</v>
      </c>
      <c r="L140" t="str">
        <f>IF(K140&gt;=5,"Apto","No apto")</f>
        <v>Apto</v>
      </c>
      <c r="M140" t="inlineStr">
        <is>
          <t>Resultados sólidos, especialmente en proyecto.</t>
        </is>
      </c>
    </row>
    <row r="141">
      <c r="A141" t="inlineStr">
        <is>
          <t>ALU-028</t>
        </is>
      </c>
      <c r="B141" t="inlineStr">
        <is>
          <t>Iván Soler</t>
        </is>
      </c>
      <c r="C141" t="inlineStr">
        <is>
          <t>Redes Industriales</t>
        </is>
      </c>
      <c r="D141" t="inlineStr">
        <is>
          <t>G1</t>
        </is>
      </c>
      <c r="E141">
        <v>7.1</v>
      </c>
      <c r="F141">
        <v>7.4</v>
      </c>
      <c r="G141">
        <v>8.3</v>
      </c>
      <c r="H141">
        <v>7.5</v>
      </c>
      <c r="I141">
        <v>100</v>
      </c>
      <c r="J141">
        <v>0</v>
      </c>
      <c r="K141">
        <f>MAX(0,MIN(10,ROUND(E141*0.20+F141*0.25+G141*0.25+H141*0.25+I141/100*0.50-J141*0.15,1)))</f>
        <v>7.7</v>
      </c>
      <c r="L141" t="str">
        <f>IF(K141&gt;=5,"Apto","No apto")</f>
        <v>Apto</v>
      </c>
      <c r="M141" t="inlineStr">
        <is>
          <t>Rendimiento irregular: muy dependiente de la evaluación continua.</t>
        </is>
      </c>
    </row>
    <row r="142">
      <c r="A142" t="inlineStr">
        <is>
          <t>ALU-029</t>
        </is>
      </c>
      <c r="B142" t="inlineStr">
        <is>
          <t>Noa Peña</t>
        </is>
      </c>
      <c r="C142" t="inlineStr">
        <is>
          <t>Cálculo Numérico</t>
        </is>
      </c>
      <c r="D142" t="inlineStr">
        <is>
          <t>G2</t>
        </is>
      </c>
      <c r="E142">
        <v>6.0</v>
      </c>
      <c r="F142">
        <v>5.5</v>
      </c>
      <c r="G142">
        <v>5.0</v>
      </c>
      <c r="H142">
        <v>6.0</v>
      </c>
      <c r="I142">
        <v>98</v>
      </c>
      <c r="J142">
        <v>0</v>
      </c>
      <c r="K142">
        <f>MAX(0,MIN(10,ROUND(E142*0.20+F142*0.25+G142*0.25+H142*0.25+I142/100*0.50-J142*0.15,1)))</f>
        <v>5.8</v>
      </c>
      <c r="L142" t="str">
        <f>IF(K142&gt;=5,"Apto","No apto")</f>
        <v>Apto</v>
      </c>
      <c r="M142" t="inlineStr">
        <is>
          <t>Mejora clara respecto al primer parcial.</t>
        </is>
      </c>
    </row>
    <row r="143">
      <c r="A143" t="inlineStr">
        <is>
          <t>ALU-029</t>
        </is>
      </c>
      <c r="B143" t="inlineStr">
        <is>
          <t>Noa Peña</t>
        </is>
      </c>
      <c r="C143" t="inlineStr">
        <is>
          <t>Sistemas Digitales</t>
        </is>
      </c>
      <c r="D143" t="inlineStr">
        <is>
          <t>G3</t>
        </is>
      </c>
      <c r="E143">
        <v>6.3</v>
      </c>
      <c r="F143">
        <v>6.0</v>
      </c>
      <c r="G143">
        <v>6.6</v>
      </c>
      <c r="H143">
        <v>5.1</v>
      </c>
      <c r="I143">
        <v>100</v>
      </c>
      <c r="J143">
        <v>0</v>
      </c>
      <c r="K143">
        <f>MAX(0,MIN(10,ROUND(E143*0.20+F143*0.25+G143*0.25+H143*0.25+I143/100*0.50-J143*0.15,1)))</f>
        <v>6.2</v>
      </c>
      <c r="L143" t="str">
        <f>IF(K143&gt;=5,"Apto","No apto")</f>
        <v>Apto</v>
      </c>
      <c r="M143" t="inlineStr">
        <is>
          <t>Buen trabajo en prácticas, con margen en la argumentación.</t>
        </is>
      </c>
    </row>
    <row r="144">
      <c r="A144" t="inlineStr">
        <is>
          <t>ALU-029</t>
        </is>
      </c>
      <c r="B144" t="inlineStr">
        <is>
          <t>Noa Peña</t>
        </is>
      </c>
      <c r="C144" t="inlineStr">
        <is>
          <t>Termodinámica Aplicada</t>
        </is>
      </c>
      <c r="D144" t="inlineStr">
        <is>
          <t>G4</t>
        </is>
      </c>
      <c r="E144">
        <v>5.3</v>
      </c>
      <c r="F144">
        <v>2.5</v>
      </c>
      <c r="G144">
        <v>3.1</v>
      </c>
      <c r="H144">
        <v>3.5</v>
      </c>
      <c r="I144">
        <v>100</v>
      </c>
      <c r="J144">
        <v>0</v>
      </c>
      <c r="K144">
        <f>MAX(0,MIN(10,ROUND(E144*0.20+F144*0.25+G144*0.25+H144*0.25+I144/100*0.50-J144*0.15,1)))</f>
        <v>3.8</v>
      </c>
      <c r="L144" t="str">
        <f>IF(K144&gt;=5,"Apto","No apto")</f>
        <v>No apto</v>
      </c>
      <c r="M144" t="inlineStr">
        <is>
          <t>Asistencia baja y entregas incompletas afectan a la nota.</t>
        </is>
      </c>
    </row>
    <row r="145">
      <c r="A145" t="inlineStr">
        <is>
          <t>ALU-029</t>
        </is>
      </c>
      <c r="B145" t="inlineStr">
        <is>
          <t>Noa Peña</t>
        </is>
      </c>
      <c r="C145" t="inlineStr">
        <is>
          <t>Robótica Móvil</t>
        </is>
      </c>
      <c r="D145" t="inlineStr">
        <is>
          <t>G1</t>
        </is>
      </c>
      <c r="E145">
        <v>5.5</v>
      </c>
      <c r="F145">
        <v>7.3</v>
      </c>
      <c r="G145">
        <v>6.3</v>
      </c>
      <c r="H145">
        <v>5.1</v>
      </c>
      <c r="I145">
        <v>100</v>
      </c>
      <c r="J145">
        <v>0</v>
      </c>
      <c r="K145">
        <f>MAX(0,MIN(10,ROUND(E145*0.20+F145*0.25+G145*0.25+H145*0.25+I145/100*0.50-J145*0.15,1)))</f>
        <v>6.3</v>
      </c>
      <c r="L145" t="str">
        <f>IF(K145&gt;=5,"Apto","No apto")</f>
        <v>Apto</v>
      </c>
      <c r="M145" t="inlineStr">
        <is>
          <t>Mejora clara respecto al primer parcial.</t>
        </is>
      </c>
    </row>
    <row r="146">
      <c r="A146" t="inlineStr">
        <is>
          <t>ALU-029</t>
        </is>
      </c>
      <c r="B146" t="inlineStr">
        <is>
          <t>Noa Peña</t>
        </is>
      </c>
      <c r="C146" t="inlineStr">
        <is>
          <t>Redes Industriales</t>
        </is>
      </c>
      <c r="D146" t="inlineStr">
        <is>
          <t>G2</t>
        </is>
      </c>
      <c r="E146">
        <v>4.4</v>
      </c>
      <c r="F146">
        <v>5.1</v>
      </c>
      <c r="G146">
        <v>5.2</v>
      </c>
      <c r="H146">
        <v>3.0</v>
      </c>
      <c r="I146">
        <v>93</v>
      </c>
      <c r="J146">
        <v>0</v>
      </c>
      <c r="K146">
        <f>MAX(0,MIN(10,ROUND(E146*0.20+F146*0.25+G146*0.25+H146*0.25+I146/100*0.50-J146*0.15,1)))</f>
        <v>4.7</v>
      </c>
      <c r="L146" t="str">
        <f>IF(K146&gt;=5,"Apto","No apto")</f>
        <v>No apto</v>
      </c>
      <c r="M146" t="inlineStr">
        <is>
          <t>Parciales insuficientes pese a cumplir algunas prácticas.</t>
        </is>
      </c>
    </row>
    <row r="147">
      <c r="A147" t="inlineStr">
        <is>
          <t>ALU-030</t>
        </is>
      </c>
      <c r="B147" t="inlineStr">
        <is>
          <t>Gonzalo Arias</t>
        </is>
      </c>
      <c r="C147" t="inlineStr">
        <is>
          <t>Cálculo Numérico</t>
        </is>
      </c>
      <c r="D147" t="inlineStr">
        <is>
          <t>G3</t>
        </is>
      </c>
      <c r="E147">
        <v>9.1</v>
      </c>
      <c r="F147">
        <v>8.4</v>
      </c>
      <c r="G147">
        <v>8.5</v>
      </c>
      <c r="H147">
        <v>9.0</v>
      </c>
      <c r="I147">
        <v>86</v>
      </c>
      <c r="J147">
        <v>0</v>
      </c>
      <c r="K147">
        <f>MAX(0,MIN(10,ROUND(E147*0.20+F147*0.25+G147*0.25+H147*0.25+I147/100*0.50-J147*0.15,1)))</f>
        <v>8.7</v>
      </c>
      <c r="L147" t="str">
        <f>IF(K147&gt;=5,"Apto","No apto")</f>
        <v>Apto</v>
      </c>
      <c r="M147" t="inlineStr">
        <is>
          <t>Excelente dominio técnico y defensa oral muy clara.</t>
        </is>
      </c>
    </row>
    <row r="148">
      <c r="A148" t="inlineStr">
        <is>
          <t>ALU-030</t>
        </is>
      </c>
      <c r="B148" t="inlineStr">
        <is>
          <t>Gonzalo Arias</t>
        </is>
      </c>
      <c r="C148" t="inlineStr">
        <is>
          <t>Sistemas Digitales</t>
        </is>
      </c>
      <c r="D148" t="inlineStr">
        <is>
          <t>G4</t>
        </is>
      </c>
      <c r="E148">
        <v>7.8</v>
      </c>
      <c r="F148">
        <v>8.1</v>
      </c>
      <c r="G148">
        <v>7.5</v>
      </c>
      <c r="H148">
        <v>9.0</v>
      </c>
      <c r="I148">
        <v>88</v>
      </c>
      <c r="J148">
        <v>0</v>
      </c>
      <c r="K148">
        <f>MAX(0,MIN(10,ROUND(E148*0.20+F148*0.25+G148*0.25+H148*0.25+I148/100*0.50-J148*0.15,1)))</f>
        <v>8.2</v>
      </c>
      <c r="L148" t="str">
        <f>IF(K148&gt;=5,"Apto","No apto")</f>
        <v>Apto</v>
      </c>
      <c r="M148" t="inlineStr">
        <is>
          <t>Resultados sólidos, especialmente en proyecto.</t>
        </is>
      </c>
    </row>
    <row r="149">
      <c r="A149" t="inlineStr">
        <is>
          <t>ALU-030</t>
        </is>
      </c>
      <c r="B149" t="inlineStr">
        <is>
          <t>Gonzalo Arias</t>
        </is>
      </c>
      <c r="C149" t="inlineStr">
        <is>
          <t>Termodinámica Aplicada</t>
        </is>
      </c>
      <c r="D149" t="inlineStr">
        <is>
          <t>G1</t>
        </is>
      </c>
      <c r="E149">
        <v>8.3</v>
      </c>
      <c r="F149">
        <v>7.3</v>
      </c>
      <c r="G149">
        <v>6.5</v>
      </c>
      <c r="H149">
        <v>7.6</v>
      </c>
      <c r="I149">
        <v>69</v>
      </c>
      <c r="J149">
        <v>1</v>
      </c>
      <c r="K149">
        <f>MAX(0,MIN(10,ROUND(E149*0.20+F149*0.25+G149*0.25+H149*0.25+I149/100*0.50-J149*0.15,1)))</f>
        <v>7.2</v>
      </c>
      <c r="L149" t="str">
        <f>IF(K149&gt;=5,"Apto","No apto")</f>
        <v>Apto</v>
      </c>
      <c r="M149" t="inlineStr">
        <is>
          <t>Pendiente de justificar una ausencia de laboratorio.</t>
        </is>
      </c>
    </row>
    <row r="150">
      <c r="A150" t="inlineStr">
        <is>
          <t>ALU-030</t>
        </is>
      </c>
      <c r="B150" t="inlineStr">
        <is>
          <t>Gonzalo Arias</t>
        </is>
      </c>
      <c r="C150" t="inlineStr">
        <is>
          <t>Robótica Móvil</t>
        </is>
      </c>
      <c r="D150" t="inlineStr">
        <is>
          <t>G2</t>
        </is>
      </c>
      <c r="E150">
        <v>9.4</v>
      </c>
      <c r="F150">
        <v>9.5</v>
      </c>
      <c r="G150">
        <v>8.8</v>
      </c>
      <c r="H150">
        <v>9.7</v>
      </c>
      <c r="I150">
        <v>94</v>
      </c>
      <c r="J150">
        <v>0</v>
      </c>
      <c r="K150">
        <f>MAX(0,MIN(10,ROUND(E150*0.20+F150*0.25+G150*0.25+H150*0.25+I150/100*0.50-J150*0.15,1)))</f>
        <v>9.3</v>
      </c>
      <c r="L150" t="str">
        <f>IF(K150&gt;=5,"Apto","No apto")</f>
        <v>Apto</v>
      </c>
      <c r="M150" t="inlineStr">
        <is>
          <t>Trabajo autónomo sobresaliente; ayuda a compañeros en laboratorio.</t>
        </is>
      </c>
    </row>
    <row r="151">
      <c r="A151" t="inlineStr">
        <is>
          <t>ALU-030</t>
        </is>
      </c>
      <c r="B151" t="inlineStr">
        <is>
          <t>Gonzalo Arias</t>
        </is>
      </c>
      <c r="C151" t="inlineStr">
        <is>
          <t>Redes Industriales</t>
        </is>
      </c>
      <c r="D151" t="inlineStr">
        <is>
          <t>G3</t>
        </is>
      </c>
      <c r="E151">
        <v>8.5</v>
      </c>
      <c r="F151">
        <v>8.2</v>
      </c>
      <c r="G151">
        <v>7.9</v>
      </c>
      <c r="H151">
        <v>9.4</v>
      </c>
      <c r="I151">
        <v>89</v>
      </c>
      <c r="J151">
        <v>0</v>
      </c>
      <c r="K151">
        <f>MAX(0,MIN(10,ROUND(E151*0.20+F151*0.25+G151*0.25+H151*0.25+I151/100*0.50-J151*0.15,1)))</f>
        <v>8.5</v>
      </c>
      <c r="L151" t="str">
        <f>IF(K151&gt;=5,"Apto","No apto")</f>
        <v>Apto</v>
      </c>
      <c r="M151" t="inlineStr">
        <is>
          <t>Progreso estable; conviene reforzar la parte teórica.</t>
        </is>
      </c>
    </row>
    <row r="152">
      <c r="A152" t="inlineStr">
        <is>
          <t>ALU-031</t>
        </is>
      </c>
      <c r="B152" t="inlineStr">
        <is>
          <t>Sara Campos</t>
        </is>
      </c>
      <c r="C152" t="inlineStr">
        <is>
          <t>Cálculo Numérico</t>
        </is>
      </c>
      <c r="D152" t="inlineStr">
        <is>
          <t>G4</t>
        </is>
      </c>
      <c r="E152">
        <v>4.8</v>
      </c>
      <c r="F152">
        <v>4.4</v>
      </c>
      <c r="G152">
        <v>4.0</v>
      </c>
      <c r="H152">
        <v>4.5</v>
      </c>
      <c r="I152">
        <v>92</v>
      </c>
      <c r="J152">
        <v>0</v>
      </c>
      <c r="K152">
        <f>MAX(0,MIN(10,ROUND(E152*0.20+F152*0.25+G152*0.25+H152*0.25+I152/100*0.50-J152*0.15,1)))</f>
        <v>4.6</v>
      </c>
      <c r="L152" t="str">
        <f>IF(K152&gt;=5,"Apto","No apto")</f>
        <v>No apto</v>
      </c>
      <c r="M152" t="inlineStr">
        <is>
          <t>Asistencia baja y entregas incompletas afectan a la nota.</t>
        </is>
      </c>
    </row>
    <row r="153">
      <c r="A153" t="inlineStr">
        <is>
          <t>ALU-031</t>
        </is>
      </c>
      <c r="B153" t="inlineStr">
        <is>
          <t>Sara Campos</t>
        </is>
      </c>
      <c r="C153" t="inlineStr">
        <is>
          <t>Sistemas Digitales</t>
        </is>
      </c>
      <c r="D153" t="inlineStr">
        <is>
          <t>G1</t>
        </is>
      </c>
      <c r="E153">
        <v>6.0</v>
      </c>
      <c r="F153">
        <v>6.3</v>
      </c>
      <c r="G153">
        <v>4.0</v>
      </c>
      <c r="H153">
        <v>4.7</v>
      </c>
      <c r="I153">
        <v>94</v>
      </c>
      <c r="J153">
        <v>1</v>
      </c>
      <c r="K153">
        <f>MAX(0,MIN(10,ROUND(E153*0.20+F153*0.25+G153*0.25+H153*0.25+I153/100*0.50-J153*0.15,1)))</f>
        <v>5.3</v>
      </c>
      <c r="L153" t="str">
        <f>IF(K153&gt;=5,"Apto","No apto")</f>
        <v>Apto</v>
      </c>
      <c r="M153" t="inlineStr">
        <is>
          <t>Participa de forma regular y entrega con calidad suficiente.</t>
        </is>
      </c>
    </row>
    <row r="154">
      <c r="A154" t="inlineStr">
        <is>
          <t>ALU-031</t>
        </is>
      </c>
      <c r="B154" t="inlineStr">
        <is>
          <t>Sara Campos</t>
        </is>
      </c>
      <c r="C154" t="inlineStr">
        <is>
          <t>Termodinámica Aplicada</t>
        </is>
      </c>
      <c r="D154" t="inlineStr">
        <is>
          <t>G2</t>
        </is>
      </c>
      <c r="E154">
        <v>4.6</v>
      </c>
      <c r="F154">
        <v>4.0</v>
      </c>
      <c r="G154">
        <v>2.9</v>
      </c>
      <c r="H154">
        <v>5.4</v>
      </c>
      <c r="I154">
        <v>97</v>
      </c>
      <c r="J154">
        <v>0</v>
      </c>
      <c r="K154">
        <f>MAX(0,MIN(10,ROUND(E154*0.20+F154*0.25+G154*0.25+H154*0.25+I154/100*0.50-J154*0.15,1)))</f>
        <v>4.5</v>
      </c>
      <c r="L154" t="str">
        <f>IF(K154&gt;=5,"Apto","No apto")</f>
        <v>No apto</v>
      </c>
      <c r="M154" t="inlineStr">
        <is>
          <t>No consolida los mínimos del segundo bloque.</t>
        </is>
      </c>
    </row>
    <row r="155">
      <c r="A155" t="inlineStr">
        <is>
          <t>ALU-031</t>
        </is>
      </c>
      <c r="B155" t="inlineStr">
        <is>
          <t>Sara Campos</t>
        </is>
      </c>
      <c r="C155" t="inlineStr">
        <is>
          <t>Robótica Móvil</t>
        </is>
      </c>
      <c r="D155" t="inlineStr">
        <is>
          <t>G3</t>
        </is>
      </c>
      <c r="E155">
        <v>6.0</v>
      </c>
      <c r="F155">
        <v>5.9</v>
      </c>
      <c r="G155">
        <v>5.7</v>
      </c>
      <c r="H155">
        <v>7.6</v>
      </c>
      <c r="I155">
        <v>94</v>
      </c>
      <c r="J155">
        <v>0</v>
      </c>
      <c r="K155">
        <f>MAX(0,MIN(10,ROUND(E155*0.20+F155*0.25+G155*0.25+H155*0.25+I155/100*0.50-J155*0.15,1)))</f>
        <v>6.5</v>
      </c>
      <c r="L155" t="str">
        <f>IF(K155&gt;=5,"Apto","No apto")</f>
        <v>Apto</v>
      </c>
      <c r="M155" t="inlineStr">
        <is>
          <t>Buen trabajo en prácticas, con margen en la argumentación.</t>
        </is>
      </c>
    </row>
    <row r="156">
      <c r="A156" t="inlineStr">
        <is>
          <t>ALU-031</t>
        </is>
      </c>
      <c r="B156" t="inlineStr">
        <is>
          <t>Sara Campos</t>
        </is>
      </c>
      <c r="C156" t="inlineStr">
        <is>
          <t>Redes Industriales</t>
        </is>
      </c>
      <c r="D156" t="inlineStr">
        <is>
          <t>G4</t>
        </is>
      </c>
      <c r="E156">
        <v>4.8</v>
      </c>
      <c r="F156">
        <v>6.0</v>
      </c>
      <c r="G156">
        <v>5.2</v>
      </c>
      <c r="H156">
        <v>4.3</v>
      </c>
      <c r="I156">
        <v>100</v>
      </c>
      <c r="J156">
        <v>1</v>
      </c>
      <c r="K156">
        <f>MAX(0,MIN(10,ROUND(E156*0.20+F156*0.25+G156*0.25+H156*0.25+I156/100*0.50-J156*0.15,1)))</f>
        <v>5.2</v>
      </c>
      <c r="L156" t="str">
        <f>IF(K156&gt;=5,"Apto","No apto")</f>
        <v>Apto</v>
      </c>
      <c r="M156" t="inlineStr">
        <is>
          <t>Rendimiento irregular: muy dependiente de la evaluación continua.</t>
        </is>
      </c>
    </row>
    <row r="157">
      <c r="A157" t="inlineStr">
        <is>
          <t>ALU-032</t>
        </is>
      </c>
      <c r="B157" t="inlineStr">
        <is>
          <t>Rubén Lozano</t>
        </is>
      </c>
      <c r="C157" t="inlineStr">
        <is>
          <t>Cálculo Numérico</t>
        </is>
      </c>
      <c r="D157" t="inlineStr">
        <is>
          <t>G1</t>
        </is>
      </c>
      <c r="E157">
        <v>6.7</v>
      </c>
      <c r="F157">
        <v>6.1</v>
      </c>
      <c r="G157">
        <v>7.1</v>
      </c>
      <c r="H157">
        <v>6.4</v>
      </c>
      <c r="I157">
        <v>70</v>
      </c>
      <c r="J157">
        <v>1</v>
      </c>
      <c r="K157">
        <f>MAX(0,MIN(10,ROUND(E157*0.20+F157*0.25+G157*0.25+H157*0.25+I157/100*0.50-J157*0.15,1)))</f>
        <v>6.4</v>
      </c>
      <c r="L157" t="str">
        <f>IF(K157&gt;=5,"Apto","No apto")</f>
        <v>Apto</v>
      </c>
      <c r="M157" t="inlineStr">
        <is>
          <t>Resultados sólidos, especialmente en proyecto.</t>
        </is>
      </c>
    </row>
    <row r="158">
      <c r="A158" t="inlineStr">
        <is>
          <t>ALU-032</t>
        </is>
      </c>
      <c r="B158" t="inlineStr">
        <is>
          <t>Rubén Lozano</t>
        </is>
      </c>
      <c r="C158" t="inlineStr">
        <is>
          <t>Sistemas Digitales</t>
        </is>
      </c>
      <c r="D158" t="inlineStr">
        <is>
          <t>G2</t>
        </is>
      </c>
      <c r="E158">
        <v>8.0</v>
      </c>
      <c r="F158">
        <v>6.8</v>
      </c>
      <c r="G158">
        <v>8.0</v>
      </c>
      <c r="H158">
        <v>7.4</v>
      </c>
      <c r="I158">
        <v>56</v>
      </c>
      <c r="J158">
        <v>0</v>
      </c>
      <c r="K158">
        <f>MAX(0,MIN(10,ROUND(E158*0.20+F158*0.25+G158*0.25+H158*0.25+I158/100*0.50-J158*0.15,1)))</f>
        <v>7.4</v>
      </c>
      <c r="L158" t="str">
        <f>IF(K158&gt;=5,"Apto","No apto")</f>
        <v>Apto</v>
      </c>
      <c r="M158" t="inlineStr">
        <is>
          <t>Buen trabajo en prácticas, con margen en la argumentación.</t>
        </is>
      </c>
    </row>
    <row r="159">
      <c r="A159" t="inlineStr">
        <is>
          <t>ALU-032</t>
        </is>
      </c>
      <c r="B159" t="inlineStr">
        <is>
          <t>Rubén Lozano</t>
        </is>
      </c>
      <c r="C159" t="inlineStr">
        <is>
          <t>Termodinámica Aplicada</t>
        </is>
      </c>
      <c r="D159" t="inlineStr">
        <is>
          <t>G3</t>
        </is>
      </c>
      <c r="E159">
        <v>5.7</v>
      </c>
      <c r="F159">
        <v>5.2</v>
      </c>
      <c r="G159">
        <v>6.7</v>
      </c>
      <c r="H159">
        <v>4.9</v>
      </c>
      <c r="I159">
        <v>65</v>
      </c>
      <c r="J159">
        <v>0</v>
      </c>
      <c r="K159">
        <f>MAX(0,MIN(10,ROUND(E159*0.20+F159*0.25+G159*0.25+H159*0.25+I159/100*0.50-J159*0.15,1)))</f>
        <v>5.7</v>
      </c>
      <c r="L159" t="str">
        <f>IF(K159&gt;=5,"Apto","No apto")</f>
        <v>Apto</v>
      </c>
      <c r="M159" t="inlineStr">
        <is>
          <t>Tiene una práctica no evaluada por entrega fuera de plazo.</t>
        </is>
      </c>
    </row>
    <row r="160">
      <c r="A160" t="inlineStr">
        <is>
          <t>ALU-032</t>
        </is>
      </c>
      <c r="B160" t="inlineStr">
        <is>
          <t>Rubén Lozano</t>
        </is>
      </c>
      <c r="C160" t="inlineStr">
        <is>
          <t>Robótica Móvil</t>
        </is>
      </c>
      <c r="D160" t="inlineStr">
        <is>
          <t>G4</t>
        </is>
      </c>
      <c r="E160">
        <v>7.5</v>
      </c>
      <c r="F160">
        <v>6.6</v>
      </c>
      <c r="G160">
        <v>7.4</v>
      </c>
      <c r="H160">
        <v>7.9</v>
      </c>
      <c r="I160">
        <v>72</v>
      </c>
      <c r="J160">
        <v>1</v>
      </c>
      <c r="K160">
        <f>MAX(0,MIN(10,ROUND(E160*0.20+F160*0.25+G160*0.25+H160*0.25+I160/100*0.50-J160*0.15,1)))</f>
        <v>7.2</v>
      </c>
      <c r="L160" t="str">
        <f>IF(K160&gt;=5,"Apto","No apto")</f>
        <v>Apto</v>
      </c>
      <c r="M160" t="inlineStr">
        <is>
          <t>Progreso estable; conviene reforzar la parte teórica.</t>
        </is>
      </c>
    </row>
    <row r="161">
      <c r="A161" t="inlineStr">
        <is>
          <t>ALU-032</t>
        </is>
      </c>
      <c r="B161" t="inlineStr">
        <is>
          <t>Rubén Lozano</t>
        </is>
      </c>
      <c r="C161" t="inlineStr">
        <is>
          <t>Redes Industriales</t>
        </is>
      </c>
      <c r="D161" t="inlineStr">
        <is>
          <t>G1</t>
        </is>
      </c>
      <c r="E161">
        <v>7.5</v>
      </c>
      <c r="F161">
        <v>6.8</v>
      </c>
      <c r="G161">
        <v>6.5</v>
      </c>
      <c r="H161">
        <v>7.1</v>
      </c>
      <c r="I161">
        <v>73</v>
      </c>
      <c r="J161">
        <v>1</v>
      </c>
      <c r="K161">
        <f>MAX(0,MIN(10,ROUND(E161*0.20+F161*0.25+G161*0.25+H161*0.25+I161/100*0.50-J161*0.15,1)))</f>
        <v>6.8</v>
      </c>
      <c r="L161" t="str">
        <f>IF(K161&gt;=5,"Apto","No apto")</f>
        <v>Apto</v>
      </c>
      <c r="M161" t="inlineStr">
        <is>
          <t>Mejora clara respecto al primer parcial.</t>
        </is>
      </c>
    </row>
    <row r="162">
      <c r="A162" t="inlineStr">
        <is>
          <t>ALU-033</t>
        </is>
      </c>
      <c r="B162" t="inlineStr">
        <is>
          <t>Alicia Pastor</t>
        </is>
      </c>
      <c r="C162" t="inlineStr">
        <is>
          <t>Cálculo Numérico</t>
        </is>
      </c>
      <c r="D162" t="inlineStr">
        <is>
          <t>G2</t>
        </is>
      </c>
      <c r="E162">
        <v>4.7</v>
      </c>
      <c r="F162">
        <v>4.2</v>
      </c>
      <c r="G162">
        <v>5.1</v>
      </c>
      <c r="H162">
        <v>4.5</v>
      </c>
      <c r="I162">
        <v>97</v>
      </c>
      <c r="J162">
        <v>0</v>
      </c>
      <c r="K162">
        <f>MAX(0,MIN(10,ROUND(E162*0.20+F162*0.25+G162*0.25+H162*0.25+I162/100*0.50-J162*0.15,1)))</f>
        <v>4.9</v>
      </c>
      <c r="L162" t="str">
        <f>IF(K162&gt;=5,"Apto","No apto")</f>
        <v>No apto</v>
      </c>
      <c r="M162" t="inlineStr">
        <is>
          <t>Debe rehacer ejercicios base antes de la convocatoria final.</t>
        </is>
      </c>
    </row>
    <row r="163">
      <c r="A163" t="inlineStr">
        <is>
          <t>ALU-033</t>
        </is>
      </c>
      <c r="B163" t="inlineStr">
        <is>
          <t>Alicia Pastor</t>
        </is>
      </c>
      <c r="C163" t="inlineStr">
        <is>
          <t>Sistemas Digitales</t>
        </is>
      </c>
      <c r="D163" t="inlineStr">
        <is>
          <t>G3</t>
        </is>
      </c>
      <c r="E163">
        <v>5.2</v>
      </c>
      <c r="F163">
        <v>5.2</v>
      </c>
      <c r="G163">
        <v>4.5</v>
      </c>
      <c r="H163">
        <v>4.8</v>
      </c>
      <c r="I163">
        <v>100</v>
      </c>
      <c r="J163">
        <v>0</v>
      </c>
      <c r="K163">
        <f>MAX(0,MIN(10,ROUND(E163*0.20+F163*0.25+G163*0.25+H163*0.25+I163/100*0.50-J163*0.15,1)))</f>
        <v>5.2</v>
      </c>
      <c r="L163" t="str">
        <f>IF(K163&gt;=5,"Apto","No apto")</f>
        <v>Apto</v>
      </c>
      <c r="M163" t="inlineStr">
        <is>
          <t>Mejora clara respecto al primer parcial.</t>
        </is>
      </c>
    </row>
    <row r="164">
      <c r="A164" t="inlineStr">
        <is>
          <t>ALU-033</t>
        </is>
      </c>
      <c r="B164" t="inlineStr">
        <is>
          <t>Alicia Pastor</t>
        </is>
      </c>
      <c r="C164" t="inlineStr">
        <is>
          <t>Termodinámica Aplicada</t>
        </is>
      </c>
      <c r="D164" t="inlineStr">
        <is>
          <t>G4</t>
        </is>
      </c>
      <c r="E164">
        <v>3.7</v>
      </c>
      <c r="F164">
        <v>3.6</v>
      </c>
      <c r="G164">
        <v>3.2</v>
      </c>
      <c r="H164">
        <v>3.8</v>
      </c>
      <c r="I164">
        <v>100</v>
      </c>
      <c r="J164">
        <v>0</v>
      </c>
      <c r="K164">
        <f>MAX(0,MIN(10,ROUND(E164*0.20+F164*0.25+G164*0.25+H164*0.25+I164/100*0.50-J164*0.15,1)))</f>
        <v>3.9</v>
      </c>
      <c r="L164" t="str">
        <f>IF(K164&gt;=5,"Apto","No apto")</f>
        <v>No apto</v>
      </c>
      <c r="M164" t="inlineStr">
        <is>
          <t>Parciales insuficientes pese a cumplir algunas prácticas.</t>
        </is>
      </c>
    </row>
    <row r="165">
      <c r="A165" t="inlineStr">
        <is>
          <t>ALU-033</t>
        </is>
      </c>
      <c r="B165" t="inlineStr">
        <is>
          <t>Alicia Pastor</t>
        </is>
      </c>
      <c r="C165" t="inlineStr">
        <is>
          <t>Robótica Móvil</t>
        </is>
      </c>
      <c r="D165" t="inlineStr">
        <is>
          <t>G1</t>
        </is>
      </c>
      <c r="E165">
        <v>5.0</v>
      </c>
      <c r="F165">
        <v>3.9</v>
      </c>
      <c r="G165">
        <v>4.5</v>
      </c>
      <c r="H165">
        <v>5.5</v>
      </c>
      <c r="I165">
        <v>96</v>
      </c>
      <c r="J165">
        <v>0</v>
      </c>
      <c r="K165">
        <f>MAX(0,MIN(10,ROUND(E165*0.20+F165*0.25+G165*0.25+H165*0.25+I165/100*0.50-J165*0.15,1)))</f>
        <v>5.0</v>
      </c>
      <c r="L165" t="str">
        <f>IF(K165&gt;=5,"Apto","No apto")</f>
        <v>Apto</v>
      </c>
      <c r="M165" t="inlineStr">
        <is>
          <t>Progreso estable; conviene reforzar la parte teórica.</t>
        </is>
      </c>
    </row>
    <row r="166">
      <c r="A166" t="inlineStr">
        <is>
          <t>ALU-033</t>
        </is>
      </c>
      <c r="B166" t="inlineStr">
        <is>
          <t>Alicia Pastor</t>
        </is>
      </c>
      <c r="C166" t="inlineStr">
        <is>
          <t>Redes Industriales</t>
        </is>
      </c>
      <c r="D166" t="inlineStr">
        <is>
          <t>G2</t>
        </is>
      </c>
      <c r="E166">
        <v>4.7</v>
      </c>
      <c r="F166">
        <v>4.8</v>
      </c>
      <c r="G166">
        <v>5.5</v>
      </c>
      <c r="H166">
        <v>4.9</v>
      </c>
      <c r="I166">
        <v>100</v>
      </c>
      <c r="J166">
        <v>0</v>
      </c>
      <c r="K166">
        <f>MAX(0,MIN(10,ROUND(E166*0.20+F166*0.25+G166*0.25+H166*0.25+I166/100*0.50-J166*0.15,1)))</f>
        <v>5.2</v>
      </c>
      <c r="L166" t="str">
        <f>IF(K166&gt;=5,"Apto","No apto")</f>
        <v>Apto</v>
      </c>
      <c r="M166" t="inlineStr">
        <is>
          <t>Buen trabajo en prácticas, con margen en la argumentación.</t>
        </is>
      </c>
    </row>
    <row r="167">
      <c r="A167" t="inlineStr">
        <is>
          <t>ALU-034</t>
        </is>
      </c>
      <c r="B167" t="inlineStr">
        <is>
          <t>Nicolás Hidalgo</t>
        </is>
      </c>
      <c r="C167" t="inlineStr">
        <is>
          <t>Cálculo Numérico</t>
        </is>
      </c>
      <c r="D167" t="inlineStr">
        <is>
          <t>G3</t>
        </is>
      </c>
      <c r="E167">
        <v>6.6</v>
      </c>
      <c r="F167">
        <v>6.7</v>
      </c>
      <c r="G167">
        <v>6.0</v>
      </c>
      <c r="H167">
        <v>6.9</v>
      </c>
      <c r="I167">
        <v>99</v>
      </c>
      <c r="J167">
        <v>0</v>
      </c>
      <c r="K167">
        <f>MAX(0,MIN(10,ROUND(E167*0.20+F167*0.25+G167*0.25+H167*0.25+I167/100*0.50-J167*0.15,1)))</f>
        <v>6.7</v>
      </c>
      <c r="L167" t="str">
        <f>IF(K167&gt;=5,"Apto","No apto")</f>
        <v>Apto</v>
      </c>
      <c r="M167" t="inlineStr">
        <is>
          <t>Resultados sólidos, especialmente en proyecto.</t>
        </is>
      </c>
    </row>
    <row r="168">
      <c r="A168" t="inlineStr">
        <is>
          <t>ALU-034</t>
        </is>
      </c>
      <c r="B168" t="inlineStr">
        <is>
          <t>Nicolás Hidalgo</t>
        </is>
      </c>
      <c r="C168" t="inlineStr">
        <is>
          <t>Sistemas Digitales</t>
        </is>
      </c>
      <c r="D168" t="inlineStr">
        <is>
          <t>G4</t>
        </is>
      </c>
      <c r="E168">
        <v>5.6</v>
      </c>
      <c r="F168">
        <v>7.1</v>
      </c>
      <c r="G168">
        <v>7.1</v>
      </c>
      <c r="H168">
        <v>7.4</v>
      </c>
      <c r="I168">
        <v>93</v>
      </c>
      <c r="J168">
        <v>0</v>
      </c>
      <c r="K168">
        <f>MAX(0,MIN(10,ROUND(E168*0.20+F168*0.25+G168*0.25+H168*0.25+I168/100*0.50-J168*0.15,1)))</f>
        <v>7.0</v>
      </c>
      <c r="L168" t="str">
        <f>IF(K168&gt;=5,"Apto","No apto")</f>
        <v>Apto</v>
      </c>
      <c r="M168" t="inlineStr">
        <is>
          <t>Tiene una práctica no evaluada por entrega fuera de plazo.</t>
        </is>
      </c>
    </row>
    <row r="169">
      <c r="A169" t="inlineStr">
        <is>
          <t>ALU-034</t>
        </is>
      </c>
      <c r="B169" t="inlineStr">
        <is>
          <t>Nicolás Hidalgo</t>
        </is>
      </c>
      <c r="C169" t="inlineStr">
        <is>
          <t>Termodinámica Aplicada</t>
        </is>
      </c>
      <c r="D169" t="inlineStr">
        <is>
          <t>G1</t>
        </is>
      </c>
      <c r="E169">
        <v>5.6</v>
      </c>
      <c r="F169">
        <v>5.3</v>
      </c>
      <c r="G169">
        <v>5.2</v>
      </c>
      <c r="H169">
        <v>6.3</v>
      </c>
      <c r="I169">
        <v>100</v>
      </c>
      <c r="J169">
        <v>0</v>
      </c>
      <c r="K169">
        <f>MAX(0,MIN(10,ROUND(E169*0.20+F169*0.25+G169*0.25+H169*0.25+I169/100*0.50-J169*0.15,1)))</f>
        <v>5.8</v>
      </c>
      <c r="L169" t="str">
        <f>IF(K169&gt;=5,"Apto","No apto")</f>
        <v>Apto</v>
      </c>
      <c r="M169" t="inlineStr">
        <is>
          <t>Participa de forma regular y entrega con calidad suficiente.</t>
        </is>
      </c>
    </row>
    <row r="170">
      <c r="A170" t="inlineStr">
        <is>
          <t>ALU-034</t>
        </is>
      </c>
      <c r="B170" t="inlineStr">
        <is>
          <t>Nicolás Hidalgo</t>
        </is>
      </c>
      <c r="C170" t="inlineStr">
        <is>
          <t>Robótica Móvil</t>
        </is>
      </c>
      <c r="D170" t="inlineStr">
        <is>
          <t>G2</t>
        </is>
      </c>
      <c r="E170">
        <v>8.0</v>
      </c>
      <c r="F170">
        <v>7.9</v>
      </c>
      <c r="G170">
        <v>7.8</v>
      </c>
      <c r="H170">
        <v>8.6</v>
      </c>
      <c r="I170">
        <v>91</v>
      </c>
      <c r="J170">
        <v>1</v>
      </c>
      <c r="K170">
        <f>MAX(0,MIN(10,ROUND(E170*0.20+F170*0.25+G170*0.25+H170*0.25+I170/100*0.50-J170*0.15,1)))</f>
        <v>8.0</v>
      </c>
      <c r="L170" t="str">
        <f>IF(K170&gt;=5,"Apto","No apto")</f>
        <v>Apto</v>
      </c>
      <c r="M170" t="inlineStr">
        <is>
          <t>Participa de forma regular y entrega con calidad suficiente.</t>
        </is>
      </c>
    </row>
    <row r="171">
      <c r="A171" t="inlineStr">
        <is>
          <t>ALU-034</t>
        </is>
      </c>
      <c r="B171" t="inlineStr">
        <is>
          <t>Nicolás Hidalgo</t>
        </is>
      </c>
      <c r="C171" t="inlineStr">
        <is>
          <t>Redes Industriales</t>
        </is>
      </c>
      <c r="D171" t="inlineStr">
        <is>
          <t>G3</t>
        </is>
      </c>
      <c r="E171">
        <v>8.1</v>
      </c>
      <c r="F171">
        <v>6.7</v>
      </c>
      <c r="G171">
        <v>7.8</v>
      </c>
      <c r="H171">
        <v>7.8</v>
      </c>
      <c r="I171">
        <v>88</v>
      </c>
      <c r="J171">
        <v>0</v>
      </c>
      <c r="K171">
        <f>MAX(0,MIN(10,ROUND(E171*0.20+F171*0.25+G171*0.25+H171*0.25+I171/100*0.50-J171*0.15,1)))</f>
        <v>7.6</v>
      </c>
      <c r="L171" t="str">
        <f>IF(K171&gt;=5,"Apto","No apto")</f>
        <v>Apto</v>
      </c>
      <c r="M171" t="inlineStr">
        <is>
          <t>Participa de forma regular y entrega con calidad suficiente.</t>
        </is>
      </c>
    </row>
    <row r="172">
      <c r="A172" t="inlineStr">
        <is>
          <t>ALU-035</t>
        </is>
      </c>
      <c r="B172" t="inlineStr">
        <is>
          <t>Teresa Ríos</t>
        </is>
      </c>
      <c r="C172" t="inlineStr">
        <is>
          <t>Cálculo Numérico</t>
        </is>
      </c>
      <c r="D172" t="inlineStr">
        <is>
          <t>G4</t>
        </is>
      </c>
      <c r="E172">
        <v>7.7</v>
      </c>
      <c r="F172">
        <v>7.3</v>
      </c>
      <c r="G172">
        <v>6.2</v>
      </c>
      <c r="H172">
        <v>8.7</v>
      </c>
      <c r="I172">
        <v>88</v>
      </c>
      <c r="J172">
        <v>0</v>
      </c>
      <c r="K172">
        <f>MAX(0,MIN(10,ROUND(E172*0.20+F172*0.25+G172*0.25+H172*0.25+I172/100*0.50-J172*0.15,1)))</f>
        <v>7.5</v>
      </c>
      <c r="L172" t="str">
        <f>IF(K172&gt;=5,"Apto","No apto")</f>
        <v>Apto</v>
      </c>
      <c r="M172" t="inlineStr">
        <is>
          <t>Participa de forma regular y entrega con calidad suficiente.</t>
        </is>
      </c>
    </row>
    <row r="173">
      <c r="A173" t="inlineStr">
        <is>
          <t>ALU-035</t>
        </is>
      </c>
      <c r="B173" t="inlineStr">
        <is>
          <t>Teresa Ríos</t>
        </is>
      </c>
      <c r="C173" t="inlineStr">
        <is>
          <t>Sistemas Digitales</t>
        </is>
      </c>
      <c r="D173" t="inlineStr">
        <is>
          <t>G1</t>
        </is>
      </c>
      <c r="E173">
        <v>8.5</v>
      </c>
      <c r="F173">
        <v>5.8</v>
      </c>
      <c r="G173">
        <v>8.2</v>
      </c>
      <c r="H173">
        <v>9.3</v>
      </c>
      <c r="I173">
        <v>84</v>
      </c>
      <c r="J173">
        <v>0</v>
      </c>
      <c r="K173">
        <f>MAX(0,MIN(10,ROUND(E173*0.20+F173*0.25+G173*0.25+H173*0.25+I173/100*0.50-J173*0.15,1)))</f>
        <v>7.9</v>
      </c>
      <c r="L173" t="str">
        <f>IF(K173&gt;=5,"Apto","No apto")</f>
        <v>Apto</v>
      </c>
      <c r="M173" t="inlineStr">
        <is>
          <t>Participa de forma regular y entrega con calidad suficiente.</t>
        </is>
      </c>
    </row>
    <row r="174">
      <c r="A174" t="inlineStr">
        <is>
          <t>ALU-035</t>
        </is>
      </c>
      <c r="B174" t="inlineStr">
        <is>
          <t>Teresa Ríos</t>
        </is>
      </c>
      <c r="C174" t="inlineStr">
        <is>
          <t>Termodinámica Aplicada</t>
        </is>
      </c>
      <c r="D174" t="inlineStr">
        <is>
          <t>G2</t>
        </is>
      </c>
      <c r="E174">
        <v>7.2</v>
      </c>
      <c r="F174">
        <v>6.6</v>
      </c>
      <c r="G174">
        <v>6.4</v>
      </c>
      <c r="H174">
        <v>5.5</v>
      </c>
      <c r="I174">
        <v>79</v>
      </c>
      <c r="J174">
        <v>0</v>
      </c>
      <c r="K174">
        <f>MAX(0,MIN(10,ROUND(E174*0.20+F174*0.25+G174*0.25+H174*0.25+I174/100*0.50-J174*0.15,1)))</f>
        <v>6.5</v>
      </c>
      <c r="L174" t="str">
        <f>IF(K174&gt;=5,"Apto","No apto")</f>
        <v>Apto</v>
      </c>
      <c r="M174" t="inlineStr">
        <is>
          <t>Rendimiento irregular: muy dependiente de la evaluación continua.</t>
        </is>
      </c>
    </row>
    <row r="175">
      <c r="A175" t="inlineStr">
        <is>
          <t>ALU-035</t>
        </is>
      </c>
      <c r="B175" t="inlineStr">
        <is>
          <t>Teresa Ríos</t>
        </is>
      </c>
      <c r="C175" t="inlineStr">
        <is>
          <t>Robótica Móvil</t>
        </is>
      </c>
      <c r="D175" t="inlineStr">
        <is>
          <t>G3</t>
        </is>
      </c>
      <c r="E175">
        <v>8.6</v>
      </c>
      <c r="F175">
        <v>8.3</v>
      </c>
      <c r="G175">
        <v>8.7</v>
      </c>
      <c r="H175">
        <v>9.7</v>
      </c>
      <c r="I175">
        <v>83</v>
      </c>
      <c r="J175">
        <v>0</v>
      </c>
      <c r="K175">
        <f>MAX(0,MIN(10,ROUND(E175*0.20+F175*0.25+G175*0.25+H175*0.25+I175/100*0.50-J175*0.15,1)))</f>
        <v>8.8</v>
      </c>
      <c r="L175" t="str">
        <f>IF(K175&gt;=5,"Apto","No apto")</f>
        <v>Apto</v>
      </c>
      <c r="M175" t="inlineStr">
        <is>
          <t>Trabajo autónomo sobresaliente; ayuda a compañeros en laboratorio.</t>
        </is>
      </c>
    </row>
    <row r="176">
      <c r="A176" t="inlineStr">
        <is>
          <t>ALU-035</t>
        </is>
      </c>
      <c r="B176" t="inlineStr">
        <is>
          <t>Teresa Ríos</t>
        </is>
      </c>
      <c r="C176" t="inlineStr">
        <is>
          <t>Redes Industriales</t>
        </is>
      </c>
      <c r="D176" t="inlineStr">
        <is>
          <t>G4</t>
        </is>
      </c>
      <c r="E176">
        <v>8.2</v>
      </c>
      <c r="F176">
        <v>7.2</v>
      </c>
      <c r="G176">
        <v>9.1</v>
      </c>
      <c r="H176">
        <v>8.1</v>
      </c>
      <c r="I176">
        <v>76</v>
      </c>
      <c r="J176">
        <v>0</v>
      </c>
      <c r="K176">
        <f>MAX(0,MIN(10,ROUND(E176*0.20+F176*0.25+G176*0.25+H176*0.25+I176/100*0.50-J176*0.15,1)))</f>
        <v>8.1</v>
      </c>
      <c r="L176" t="str">
        <f>IF(K176&gt;=5,"Apto","No apto")</f>
        <v>Apto</v>
      </c>
      <c r="M176" t="inlineStr">
        <is>
          <t>Buen trabajo en prácticas, con margen en la argumentación.</t>
        </is>
      </c>
    </row>
    <row r="177">
      <c r="A177" t="inlineStr">
        <is>
          <t>ALU-036</t>
        </is>
      </c>
      <c r="B177" t="inlineStr">
        <is>
          <t>Mateo Aguilar</t>
        </is>
      </c>
      <c r="C177" t="inlineStr">
        <is>
          <t>Cálculo Numérico</t>
        </is>
      </c>
      <c r="D177" t="inlineStr">
        <is>
          <t>G1</t>
        </is>
      </c>
      <c r="E177">
        <v>6.7</v>
      </c>
      <c r="F177">
        <v>5.4</v>
      </c>
      <c r="G177">
        <v>4.8</v>
      </c>
      <c r="H177">
        <v>6.0</v>
      </c>
      <c r="I177">
        <v>63</v>
      </c>
      <c r="J177">
        <v>2</v>
      </c>
      <c r="K177">
        <f>MAX(0,MIN(10,ROUND(E177*0.20+F177*0.25+G177*0.25+H177*0.25+I177/100*0.50-J177*0.15,1)))</f>
        <v>5.4</v>
      </c>
      <c r="L177" t="str">
        <f>IF(K177&gt;=5,"Apto","No apto")</f>
        <v>Apto</v>
      </c>
      <c r="M177" t="inlineStr">
        <is>
          <t>Mejora clara respecto al primer parcial.</t>
        </is>
      </c>
    </row>
    <row r="178">
      <c r="A178" t="inlineStr">
        <is>
          <t>ALU-036</t>
        </is>
      </c>
      <c r="B178" t="inlineStr">
        <is>
          <t>Mateo Aguilar</t>
        </is>
      </c>
      <c r="C178" t="inlineStr">
        <is>
          <t>Sistemas Digitales</t>
        </is>
      </c>
      <c r="D178" t="inlineStr">
        <is>
          <t>G2</t>
        </is>
      </c>
      <c r="E178">
        <v>7.5</v>
      </c>
      <c r="F178">
        <v>7.8</v>
      </c>
      <c r="G178">
        <v>6.8</v>
      </c>
      <c r="H178">
        <v>8.0</v>
      </c>
      <c r="I178">
        <v>67</v>
      </c>
      <c r="J178">
        <v>1</v>
      </c>
      <c r="K178">
        <f>MAX(0,MIN(10,ROUND(E178*0.20+F178*0.25+G178*0.25+H178*0.25+I178/100*0.50-J178*0.15,1)))</f>
        <v>7.3</v>
      </c>
      <c r="L178" t="str">
        <f>IF(K178&gt;=5,"Apto","No apto")</f>
        <v>Apto</v>
      </c>
      <c r="M178" t="inlineStr">
        <is>
          <t>Tiene una práctica no evaluada por entrega fuera de plazo.</t>
        </is>
      </c>
    </row>
    <row r="179">
      <c r="A179" t="inlineStr">
        <is>
          <t>ALU-036</t>
        </is>
      </c>
      <c r="B179" t="inlineStr">
        <is>
          <t>Mateo Aguilar</t>
        </is>
      </c>
      <c r="C179" t="inlineStr">
        <is>
          <t>Termodinámica Aplicada</t>
        </is>
      </c>
      <c r="D179" t="inlineStr">
        <is>
          <t>G3</t>
        </is>
      </c>
      <c r="E179">
        <v>6.2</v>
      </c>
      <c r="F179">
        <v>6.2</v>
      </c>
      <c r="G179">
        <v>8.2</v>
      </c>
      <c r="H179">
        <v>5.7</v>
      </c>
      <c r="I179">
        <v>75</v>
      </c>
      <c r="J179">
        <v>1</v>
      </c>
      <c r="K179">
        <f>MAX(0,MIN(10,ROUND(E179*0.20+F179*0.25+G179*0.25+H179*0.25+I179/100*0.50-J179*0.15,1)))</f>
        <v>6.5</v>
      </c>
      <c r="L179" t="str">
        <f>IF(K179&gt;=5,"Apto","No apto")</f>
        <v>Apto</v>
      </c>
      <c r="M179" t="inlineStr">
        <is>
          <t>Rendimiento irregular: muy dependiente de la evaluación continua.</t>
        </is>
      </c>
    </row>
    <row r="180">
      <c r="A180" t="inlineStr">
        <is>
          <t>ALU-036</t>
        </is>
      </c>
      <c r="B180" t="inlineStr">
        <is>
          <t>Mateo Aguilar</t>
        </is>
      </c>
      <c r="C180" t="inlineStr">
        <is>
          <t>Robótica Móvil</t>
        </is>
      </c>
      <c r="D180" t="inlineStr">
        <is>
          <t>G4</t>
        </is>
      </c>
      <c r="E180">
        <v>8.4</v>
      </c>
      <c r="F180">
        <v>7.3</v>
      </c>
      <c r="G180">
        <v>7.1</v>
      </c>
      <c r="H180">
        <v>8.5</v>
      </c>
      <c r="I180">
        <v>70</v>
      </c>
      <c r="J180">
        <v>1</v>
      </c>
      <c r="K180">
        <f>MAX(0,MIN(10,ROUND(E180*0.20+F180*0.25+G180*0.25+H180*0.25+I180/100*0.50-J180*0.15,1)))</f>
        <v>7.6</v>
      </c>
      <c r="L180" t="str">
        <f>IF(K180&gt;=5,"Apto","No apto")</f>
        <v>Apto</v>
      </c>
      <c r="M180" t="inlineStr">
        <is>
          <t>Resultados sólidos, especialmente en proyecto.</t>
        </is>
      </c>
    </row>
    <row r="181">
      <c r="A181" t="inlineStr">
        <is>
          <t>ALU-036</t>
        </is>
      </c>
      <c r="B181" t="inlineStr">
        <is>
          <t>Mateo Aguilar</t>
        </is>
      </c>
      <c r="C181" t="inlineStr">
        <is>
          <t>Redes Industriales</t>
        </is>
      </c>
      <c r="D181" t="inlineStr">
        <is>
          <t>G1</t>
        </is>
      </c>
      <c r="E181">
        <v>6.5</v>
      </c>
      <c r="F181">
        <v>7.9</v>
      </c>
      <c r="G181">
        <v>7.5</v>
      </c>
      <c r="H181">
        <v>7.4</v>
      </c>
      <c r="I181">
        <v>59</v>
      </c>
      <c r="J181">
        <v>1</v>
      </c>
      <c r="K181">
        <f>MAX(0,MIN(10,ROUND(E181*0.20+F181*0.25+G181*0.25+H181*0.25+I181/100*0.50-J181*0.15,1)))</f>
        <v>7.1</v>
      </c>
      <c r="L181" t="str">
        <f>IF(K181&gt;=5,"Apto","No apto")</f>
        <v>Apto</v>
      </c>
      <c r="M181" t="inlineStr">
        <is>
          <t>Conviene seguimiento en tutoría antes del cierre de actas.</t>
        </is>
      </c>
    </row>
    <row r="182">
      <c r="A182" t="inlineStr">
        <is>
          <t>ALU-037</t>
        </is>
      </c>
      <c r="B182" t="inlineStr">
        <is>
          <t>Valeria Cruz</t>
        </is>
      </c>
      <c r="C182" t="inlineStr">
        <is>
          <t>Cálculo Numérico</t>
        </is>
      </c>
      <c r="D182" t="inlineStr">
        <is>
          <t>G2</t>
        </is>
      </c>
      <c r="E182">
        <v>3.6</v>
      </c>
      <c r="F182">
        <v>3.9</v>
      </c>
      <c r="G182">
        <v>3.9</v>
      </c>
      <c r="H182">
        <v>3.5</v>
      </c>
      <c r="I182">
        <v>78</v>
      </c>
      <c r="J182">
        <v>0</v>
      </c>
      <c r="K182">
        <f>MAX(0,MIN(10,ROUND(E182*0.20+F182*0.25+G182*0.25+H182*0.25+I182/100*0.50-J182*0.15,1)))</f>
        <v>3.9</v>
      </c>
      <c r="L182" t="str">
        <f>IF(K182&gt;=5,"Apto","No apto")</f>
        <v>No apto</v>
      </c>
      <c r="M182" t="inlineStr">
        <is>
          <t>Debe rehacer ejercicios base antes de la convocatoria final.</t>
        </is>
      </c>
    </row>
    <row r="183">
      <c r="A183" t="inlineStr">
        <is>
          <t>ALU-037</t>
        </is>
      </c>
      <c r="B183" t="inlineStr">
        <is>
          <t>Valeria Cruz</t>
        </is>
      </c>
      <c r="C183" t="inlineStr">
        <is>
          <t>Sistemas Digitales</t>
        </is>
      </c>
      <c r="D183" t="inlineStr">
        <is>
          <t>G3</t>
        </is>
      </c>
      <c r="E183">
        <v>4.6</v>
      </c>
      <c r="F183">
        <v>4.3</v>
      </c>
      <c r="G183">
        <v>4.3</v>
      </c>
      <c r="H183">
        <v>4.4</v>
      </c>
      <c r="I183">
        <v>81</v>
      </c>
      <c r="J183">
        <v>0</v>
      </c>
      <c r="K183">
        <f>MAX(0,MIN(10,ROUND(E183*0.20+F183*0.25+G183*0.25+H183*0.25+I183/100*0.50-J183*0.15,1)))</f>
        <v>4.6</v>
      </c>
      <c r="L183" t="str">
        <f>IF(K183&gt;=5,"Apto","No apto")</f>
        <v>No apto</v>
      </c>
      <c r="M183" t="inlineStr">
        <is>
          <t>Parciales insuficientes pese a cumplir algunas prácticas.</t>
        </is>
      </c>
    </row>
    <row r="184">
      <c r="A184" t="inlineStr">
        <is>
          <t>ALU-037</t>
        </is>
      </c>
      <c r="B184" t="inlineStr">
        <is>
          <t>Valeria Cruz</t>
        </is>
      </c>
      <c r="C184" t="inlineStr">
        <is>
          <t>Termodinámica Aplicada</t>
        </is>
      </c>
      <c r="D184" t="inlineStr">
        <is>
          <t>G4</t>
        </is>
      </c>
      <c r="E184">
        <v>3.6</v>
      </c>
      <c r="F184">
        <v>3.0</v>
      </c>
      <c r="G184">
        <v>2.9</v>
      </c>
      <c r="H184">
        <v>3.4</v>
      </c>
      <c r="I184">
        <v>81</v>
      </c>
      <c r="J184">
        <v>0</v>
      </c>
      <c r="K184">
        <f>MAX(0,MIN(10,ROUND(E184*0.20+F184*0.25+G184*0.25+H184*0.25+I184/100*0.50-J184*0.15,1)))</f>
        <v>3.5</v>
      </c>
      <c r="L184" t="str">
        <f>IF(K184&gt;=5,"Apto","No apto")</f>
        <v>No apto</v>
      </c>
      <c r="M184" t="inlineStr">
        <is>
          <t>No consolida los mínimos del segundo bloque.</t>
        </is>
      </c>
    </row>
    <row r="185">
      <c r="A185" t="inlineStr">
        <is>
          <t>ALU-037</t>
        </is>
      </c>
      <c r="B185" t="inlineStr">
        <is>
          <t>Valeria Cruz</t>
        </is>
      </c>
      <c r="C185" t="inlineStr">
        <is>
          <t>Robótica Móvil</t>
        </is>
      </c>
      <c r="D185" t="inlineStr">
        <is>
          <t>G1</t>
        </is>
      </c>
      <c r="E185">
        <v>5.5</v>
      </c>
      <c r="F185">
        <v>4.6</v>
      </c>
      <c r="G185">
        <v>4.5</v>
      </c>
      <c r="H185">
        <v>5.7</v>
      </c>
      <c r="I185">
        <v>93</v>
      </c>
      <c r="J185">
        <v>1</v>
      </c>
      <c r="K185">
        <f>MAX(0,MIN(10,ROUND(E185*0.20+F185*0.25+G185*0.25+H185*0.25+I185/100*0.50-J185*0.15,1)))</f>
        <v>5.1</v>
      </c>
      <c r="L185" t="str">
        <f>IF(K185&gt;=5,"Apto","No apto")</f>
        <v>Apto</v>
      </c>
      <c r="M185" t="inlineStr">
        <is>
          <t>Rendimiento irregular: muy dependiente de la evaluación continua.</t>
        </is>
      </c>
    </row>
    <row r="186">
      <c r="A186" t="inlineStr">
        <is>
          <t>ALU-037</t>
        </is>
      </c>
      <c r="B186" t="inlineStr">
        <is>
          <t>Valeria Cruz</t>
        </is>
      </c>
      <c r="C186" t="inlineStr">
        <is>
          <t>Redes Industriales</t>
        </is>
      </c>
      <c r="D186" t="inlineStr">
        <is>
          <t>G2</t>
        </is>
      </c>
      <c r="E186">
        <v>3.8</v>
      </c>
      <c r="F186">
        <v>3.8</v>
      </c>
      <c r="G186">
        <v>3.7</v>
      </c>
      <c r="H186">
        <v>4.3</v>
      </c>
      <c r="I186">
        <v>76</v>
      </c>
      <c r="J186">
        <v>1</v>
      </c>
      <c r="K186">
        <f>MAX(0,MIN(10,ROUND(E186*0.20+F186*0.25+G186*0.25+H186*0.25+I186/100*0.50-J186*0.15,1)))</f>
        <v>3.9</v>
      </c>
      <c r="L186" t="str">
        <f>IF(K186&gt;=5,"Apto","No apto")</f>
        <v>No apto</v>
      </c>
      <c r="M186" t="inlineStr">
        <is>
          <t>Debe rehacer ejercicios base antes de la convocatoria final.</t>
        </is>
      </c>
    </row>
    <row r="187">
      <c r="A187" t="inlineStr">
        <is>
          <t>ALU-038</t>
        </is>
      </c>
      <c r="B187" t="inlineStr">
        <is>
          <t>Tomás Cabrera</t>
        </is>
      </c>
      <c r="C187" t="inlineStr">
        <is>
          <t>Cálculo Numérico</t>
        </is>
      </c>
      <c r="D187" t="inlineStr">
        <is>
          <t>G3</t>
        </is>
      </c>
      <c r="E187">
        <v>8.5</v>
      </c>
      <c r="F187">
        <v>8.0</v>
      </c>
      <c r="G187">
        <v>7.3</v>
      </c>
      <c r="H187">
        <v>7.1</v>
      </c>
      <c r="I187">
        <v>100</v>
      </c>
      <c r="J187">
        <v>0</v>
      </c>
      <c r="K187">
        <f>MAX(0,MIN(10,ROUND(E187*0.20+F187*0.25+G187*0.25+H187*0.25+I187/100*0.50-J187*0.15,1)))</f>
        <v>7.8</v>
      </c>
      <c r="L187" t="str">
        <f>IF(K187&gt;=5,"Apto","No apto")</f>
        <v>Apto</v>
      </c>
      <c r="M187" t="inlineStr">
        <is>
          <t>Rendimiento irregular: muy dependiente de la evaluación continua.</t>
        </is>
      </c>
    </row>
    <row r="188">
      <c r="A188" t="inlineStr">
        <is>
          <t>ALU-038</t>
        </is>
      </c>
      <c r="B188" t="inlineStr">
        <is>
          <t>Tomás Cabrera</t>
        </is>
      </c>
      <c r="C188" t="inlineStr">
        <is>
          <t>Sistemas Digitales</t>
        </is>
      </c>
      <c r="D188" t="inlineStr">
        <is>
          <t>G4</t>
        </is>
      </c>
      <c r="E188">
        <v>8.5</v>
      </c>
      <c r="F188">
        <v>7.1</v>
      </c>
      <c r="G188">
        <v>7.6</v>
      </c>
      <c r="H188">
        <v>8.4</v>
      </c>
      <c r="I188">
        <v>84</v>
      </c>
      <c r="J188">
        <v>0</v>
      </c>
      <c r="K188">
        <f>MAX(0,MIN(10,ROUND(E188*0.20+F188*0.25+G188*0.25+H188*0.25+I188/100*0.50-J188*0.15,1)))</f>
        <v>7.9</v>
      </c>
      <c r="L188" t="str">
        <f>IF(K188&gt;=5,"Apto","No apto")</f>
        <v>Apto</v>
      </c>
      <c r="M188" t="inlineStr">
        <is>
          <t>Rendimiento irregular: muy dependiente de la evaluación continua.</t>
        </is>
      </c>
    </row>
    <row r="189">
      <c r="A189" t="inlineStr">
        <is>
          <t>ALU-038</t>
        </is>
      </c>
      <c r="B189" t="inlineStr">
        <is>
          <t>Tomás Cabrera</t>
        </is>
      </c>
      <c r="C189" t="inlineStr">
        <is>
          <t>Termodinámica Aplicada</t>
        </is>
      </c>
      <c r="D189" t="inlineStr">
        <is>
          <t>G1</t>
        </is>
      </c>
      <c r="E189">
        <v>8.8</v>
      </c>
      <c r="F189">
        <v>5.6</v>
      </c>
      <c r="G189">
        <v>6.3</v>
      </c>
      <c r="H189">
        <v>7.3</v>
      </c>
      <c r="I189">
        <v>82</v>
      </c>
      <c r="J189">
        <v>0</v>
      </c>
      <c r="K189">
        <f>MAX(0,MIN(10,ROUND(E189*0.20+F189*0.25+G189*0.25+H189*0.25+I189/100*0.50-J189*0.15,1)))</f>
        <v>7.0</v>
      </c>
      <c r="L189" t="str">
        <f>IF(K189&gt;=5,"Apto","No apto")</f>
        <v>Apto</v>
      </c>
      <c r="M189" t="inlineStr">
        <is>
          <t>Buen trabajo en prácticas, con margen en la argumentación.</t>
        </is>
      </c>
    </row>
    <row r="190">
      <c r="A190" t="inlineStr">
        <is>
          <t>ALU-038</t>
        </is>
      </c>
      <c r="B190" t="inlineStr">
        <is>
          <t>Tomás Cabrera</t>
        </is>
      </c>
      <c r="C190" t="inlineStr">
        <is>
          <t>Robótica Móvil</t>
        </is>
      </c>
      <c r="D190" t="inlineStr">
        <is>
          <t>G2</t>
        </is>
      </c>
      <c r="E190">
        <v>8.1</v>
      </c>
      <c r="F190">
        <v>8.8</v>
      </c>
      <c r="G190">
        <v>7.3</v>
      </c>
      <c r="H190">
        <v>8.7</v>
      </c>
      <c r="I190">
        <v>92</v>
      </c>
      <c r="J190">
        <v>1</v>
      </c>
      <c r="K190">
        <f>MAX(0,MIN(10,ROUND(E190*0.20+F190*0.25+G190*0.25+H190*0.25+I190/100*0.50-J190*0.15,1)))</f>
        <v>8.1</v>
      </c>
      <c r="L190" t="str">
        <f>IF(K190&gt;=5,"Apto","No apto")</f>
        <v>Apto</v>
      </c>
      <c r="M190" t="inlineStr">
        <is>
          <t>Resultados sólidos, especialmente en proyecto.</t>
        </is>
      </c>
    </row>
    <row r="191">
      <c r="A191" t="inlineStr">
        <is>
          <t>ALU-038</t>
        </is>
      </c>
      <c r="B191" t="inlineStr">
        <is>
          <t>Tomás Cabrera</t>
        </is>
      </c>
      <c r="C191" t="inlineStr">
        <is>
          <t>Redes Industriales</t>
        </is>
      </c>
      <c r="D191" t="inlineStr">
        <is>
          <t>G3</t>
        </is>
      </c>
      <c r="E191">
        <v>7.9</v>
      </c>
      <c r="F191">
        <v>5.9</v>
      </c>
      <c r="G191">
        <v>8.5</v>
      </c>
      <c r="H191">
        <v>7.8</v>
      </c>
      <c r="I191">
        <v>100</v>
      </c>
      <c r="J191">
        <v>0</v>
      </c>
      <c r="K191">
        <f>MAX(0,MIN(10,ROUND(E191*0.20+F191*0.25+G191*0.25+H191*0.25+I191/100*0.50-J191*0.15,1)))</f>
        <v>7.6</v>
      </c>
      <c r="L191" t="str">
        <f>IF(K191&gt;=5,"Apto","No apto")</f>
        <v>Apto</v>
      </c>
      <c r="M191" t="inlineStr">
        <is>
          <t>Mejora clara respecto al primer parcial.</t>
        </is>
      </c>
    </row>
    <row r="192">
      <c r="A192" t="inlineStr">
        <is>
          <t>ALU-039</t>
        </is>
      </c>
      <c r="B192" t="inlineStr">
        <is>
          <t>Beatriz Santos</t>
        </is>
      </c>
      <c r="C192" t="inlineStr">
        <is>
          <t>Cálculo Numérico</t>
        </is>
      </c>
      <c r="D192" t="inlineStr">
        <is>
          <t>G4</t>
        </is>
      </c>
      <c r="E192">
        <v>6.5</v>
      </c>
      <c r="F192">
        <v>4.7</v>
      </c>
      <c r="G192">
        <v>7.0</v>
      </c>
      <c r="H192">
        <v>6.5</v>
      </c>
      <c r="I192">
        <v>90</v>
      </c>
      <c r="J192">
        <v>0</v>
      </c>
      <c r="K192">
        <f>MAX(0,MIN(10,ROUND(E192*0.20+F192*0.25+G192*0.25+H192*0.25+I192/100*0.50-J192*0.15,1)))</f>
        <v>6.3</v>
      </c>
      <c r="L192" t="str">
        <f>IF(K192&gt;=5,"Apto","No apto")</f>
        <v>Apto</v>
      </c>
      <c r="M192" t="inlineStr">
        <is>
          <t>Participa de forma regular y entrega con calidad suficiente.</t>
        </is>
      </c>
    </row>
    <row r="193">
      <c r="A193" t="inlineStr">
        <is>
          <t>ALU-039</t>
        </is>
      </c>
      <c r="B193" t="inlineStr">
        <is>
          <t>Beatriz Santos</t>
        </is>
      </c>
      <c r="C193" t="inlineStr">
        <is>
          <t>Sistemas Digitales</t>
        </is>
      </c>
      <c r="D193" t="inlineStr">
        <is>
          <t>G1</t>
        </is>
      </c>
      <c r="E193">
        <v>7.2</v>
      </c>
      <c r="F193">
        <v>7.2</v>
      </c>
      <c r="G193">
        <v>7.5</v>
      </c>
      <c r="H193">
        <v>6.9</v>
      </c>
      <c r="I193">
        <v>94</v>
      </c>
      <c r="J193">
        <v>0</v>
      </c>
      <c r="K193">
        <f>MAX(0,MIN(10,ROUND(E193*0.20+F193*0.25+G193*0.25+H193*0.25+I193/100*0.50-J193*0.15,1)))</f>
        <v>7.3</v>
      </c>
      <c r="L193" t="str">
        <f>IF(K193&gt;=5,"Apto","No apto")</f>
        <v>Apto</v>
      </c>
      <c r="M193" t="inlineStr">
        <is>
          <t>Resultados sólidos, especialmente en proyecto.</t>
        </is>
      </c>
    </row>
    <row r="194">
      <c r="A194" t="inlineStr">
        <is>
          <t>ALU-039</t>
        </is>
      </c>
      <c r="B194" t="inlineStr">
        <is>
          <t>Beatriz Santos</t>
        </is>
      </c>
      <c r="C194" t="inlineStr">
        <is>
          <t>Termodinámica Aplicada</t>
        </is>
      </c>
      <c r="D194" t="inlineStr">
        <is>
          <t>G2</t>
        </is>
      </c>
      <c r="E194">
        <v>6.2</v>
      </c>
      <c r="F194">
        <v>5.7</v>
      </c>
      <c r="G194">
        <v>4.8</v>
      </c>
      <c r="H194">
        <v>6.3</v>
      </c>
      <c r="I194">
        <v>68</v>
      </c>
      <c r="J194">
        <v>1</v>
      </c>
      <c r="K194">
        <f>MAX(0,MIN(10,ROUND(E194*0.20+F194*0.25+G194*0.25+H194*0.25+I194/100*0.50-J194*0.15,1)))</f>
        <v>5.6</v>
      </c>
      <c r="L194" t="str">
        <f>IF(K194&gt;=5,"Apto","No apto")</f>
        <v>Apto</v>
      </c>
      <c r="M194" t="inlineStr">
        <is>
          <t>Tiene una práctica no evaluada por entrega fuera de plazo.</t>
        </is>
      </c>
    </row>
    <row r="195">
      <c r="A195" t="inlineStr">
        <is>
          <t>ALU-039</t>
        </is>
      </c>
      <c r="B195" t="inlineStr">
        <is>
          <t>Beatriz Santos</t>
        </is>
      </c>
      <c r="C195" t="inlineStr">
        <is>
          <t>Robótica Móvil</t>
        </is>
      </c>
      <c r="D195" t="inlineStr">
        <is>
          <t>G3</t>
        </is>
      </c>
      <c r="E195">
        <v>8.1</v>
      </c>
      <c r="F195">
        <v>6.7</v>
      </c>
      <c r="G195">
        <v>7.2</v>
      </c>
      <c r="H195">
        <v>8.7</v>
      </c>
      <c r="I195">
        <v>86</v>
      </c>
      <c r="J195">
        <v>1</v>
      </c>
      <c r="K195">
        <f>MAX(0,MIN(10,ROUND(E195*0.20+F195*0.25+G195*0.25+H195*0.25+I195/100*0.50-J195*0.15,1)))</f>
        <v>7.5</v>
      </c>
      <c r="L195" t="str">
        <f>IF(K195&gt;=5,"Apto","No apto")</f>
        <v>Apto</v>
      </c>
      <c r="M195" t="inlineStr">
        <is>
          <t>Progreso estable; conviene reforzar la parte teórica.</t>
        </is>
      </c>
    </row>
    <row r="196">
      <c r="A196" t="inlineStr">
        <is>
          <t>ALU-039</t>
        </is>
      </c>
      <c r="B196" t="inlineStr">
        <is>
          <t>Beatriz Santos</t>
        </is>
      </c>
      <c r="C196" t="inlineStr">
        <is>
          <t>Redes Industriales</t>
        </is>
      </c>
      <c r="D196" t="inlineStr">
        <is>
          <t>G4</t>
        </is>
      </c>
      <c r="E196">
        <v>7.3</v>
      </c>
      <c r="F196">
        <v>6.6</v>
      </c>
      <c r="G196">
        <v>8.7</v>
      </c>
      <c r="H196">
        <v>7.8</v>
      </c>
      <c r="I196">
        <v>88</v>
      </c>
      <c r="J196">
        <v>1</v>
      </c>
      <c r="K196">
        <f>MAX(0,MIN(10,ROUND(E196*0.20+F196*0.25+G196*0.25+H196*0.25+I196/100*0.50-J196*0.15,1)))</f>
        <v>7.5</v>
      </c>
      <c r="L196" t="str">
        <f>IF(K196&gt;=5,"Apto","No apto")</f>
        <v>Apto</v>
      </c>
      <c r="M196" t="inlineStr">
        <is>
          <t>Participa de forma regular y entrega con calidad suficiente.</t>
        </is>
      </c>
    </row>
    <row r="197">
      <c r="A197" t="inlineStr">
        <is>
          <t>ALU-040</t>
        </is>
      </c>
      <c r="B197" t="inlineStr">
        <is>
          <t>Alejandro Núñez</t>
        </is>
      </c>
      <c r="C197" t="inlineStr">
        <is>
          <t>Cálculo Numérico</t>
        </is>
      </c>
      <c r="D197" t="inlineStr">
        <is>
          <t>G1</t>
        </is>
      </c>
      <c r="E197">
        <v>6.8</v>
      </c>
      <c r="F197">
        <v>6.7</v>
      </c>
      <c r="G197">
        <v>6.3</v>
      </c>
      <c r="H197">
        <v>7.3</v>
      </c>
      <c r="I197">
        <v>79</v>
      </c>
      <c r="J197">
        <v>2</v>
      </c>
      <c r="K197">
        <f>MAX(0,MIN(10,ROUND(E197*0.20+F197*0.25+G197*0.25+H197*0.25+I197/100*0.50-J197*0.15,1)))</f>
        <v>6.5</v>
      </c>
      <c r="L197" t="str">
        <f>IF(K197&gt;=5,"Apto","No apto")</f>
        <v>Apto</v>
      </c>
      <c r="M197" t="inlineStr">
        <is>
          <t>Progreso estable; conviene reforzar la parte teórica.</t>
        </is>
      </c>
    </row>
    <row r="198">
      <c r="A198" t="inlineStr">
        <is>
          <t>ALU-040</t>
        </is>
      </c>
      <c r="B198" t="inlineStr">
        <is>
          <t>Alejandro Núñez</t>
        </is>
      </c>
      <c r="C198" t="inlineStr">
        <is>
          <t>Sistemas Digitales</t>
        </is>
      </c>
      <c r="D198" t="inlineStr">
        <is>
          <t>G2</t>
        </is>
      </c>
      <c r="E198">
        <v>6.9</v>
      </c>
      <c r="F198">
        <v>6.3</v>
      </c>
      <c r="G198">
        <v>6.9</v>
      </c>
      <c r="H198">
        <v>8.2</v>
      </c>
      <c r="I198">
        <v>76</v>
      </c>
      <c r="J198">
        <v>1</v>
      </c>
      <c r="K198">
        <f>MAX(0,MIN(10,ROUND(E198*0.20+F198*0.25+G198*0.25+H198*0.25+I198/100*0.50-J198*0.15,1)))</f>
        <v>7.0</v>
      </c>
      <c r="L198" t="str">
        <f>IF(K198&gt;=5,"Apto","No apto")</f>
        <v>Apto</v>
      </c>
      <c r="M198" t="inlineStr">
        <is>
          <t>Mejora clara respecto al primer parcial.</t>
        </is>
      </c>
    </row>
    <row r="199">
      <c r="A199" t="inlineStr">
        <is>
          <t>ALU-040</t>
        </is>
      </c>
      <c r="B199" t="inlineStr">
        <is>
          <t>Alejandro Núñez</t>
        </is>
      </c>
      <c r="C199" t="inlineStr">
        <is>
          <t>Termodinámica Aplicada</t>
        </is>
      </c>
      <c r="D199" t="inlineStr">
        <is>
          <t>G3</t>
        </is>
      </c>
      <c r="E199">
        <v>6.6</v>
      </c>
      <c r="F199">
        <v>3.9</v>
      </c>
      <c r="G199">
        <v>5.4</v>
      </c>
      <c r="H199">
        <v>5.7</v>
      </c>
      <c r="I199">
        <v>83</v>
      </c>
      <c r="J199">
        <v>0</v>
      </c>
      <c r="K199">
        <f>MAX(0,MIN(10,ROUND(E199*0.20+F199*0.25+G199*0.25+H199*0.25+I199/100*0.50-J199*0.15,1)))</f>
        <v>5.5</v>
      </c>
      <c r="L199" t="str">
        <f>IF(K199&gt;=5,"Apto","No apto")</f>
        <v>Apto</v>
      </c>
      <c r="M199" t="inlineStr">
        <is>
          <t>Resultados sólidos, especialmente en proyecto.</t>
        </is>
      </c>
    </row>
    <row r="200">
      <c r="A200" t="inlineStr">
        <is>
          <t>ALU-040</t>
        </is>
      </c>
      <c r="B200" t="inlineStr">
        <is>
          <t>Alejandro Núñez</t>
        </is>
      </c>
      <c r="C200" t="inlineStr">
        <is>
          <t>Robótica Móvil</t>
        </is>
      </c>
      <c r="D200" t="inlineStr">
        <is>
          <t>G4</t>
        </is>
      </c>
      <c r="E200">
        <v>8.0</v>
      </c>
      <c r="F200">
        <v>6.3</v>
      </c>
      <c r="G200">
        <v>7.1</v>
      </c>
      <c r="H200">
        <v>8.3</v>
      </c>
      <c r="I200">
        <v>79</v>
      </c>
      <c r="J200">
        <v>0</v>
      </c>
      <c r="K200">
        <f>MAX(0,MIN(10,ROUND(E200*0.20+F200*0.25+G200*0.25+H200*0.25+I200/100*0.50-J200*0.15,1)))</f>
        <v>7.4</v>
      </c>
      <c r="L200" t="str">
        <f>IF(K200&gt;=5,"Apto","No apto")</f>
        <v>Apto</v>
      </c>
      <c r="M200" t="inlineStr">
        <is>
          <t>Participa de forma regular y entrega con calidad suficiente.</t>
        </is>
      </c>
    </row>
    <row r="201">
      <c r="A201" t="inlineStr">
        <is>
          <t>ALU-040</t>
        </is>
      </c>
      <c r="B201" t="inlineStr">
        <is>
          <t>Alejandro Núñez</t>
        </is>
      </c>
      <c r="C201" t="inlineStr">
        <is>
          <t>Redes Industriales</t>
        </is>
      </c>
      <c r="D201" t="inlineStr">
        <is>
          <t>G1</t>
        </is>
      </c>
      <c r="E201">
        <v>7.1</v>
      </c>
      <c r="F201">
        <v>7.1</v>
      </c>
      <c r="G201">
        <v>7.0</v>
      </c>
      <c r="H201">
        <v>8.0</v>
      </c>
      <c r="I201">
        <v>90</v>
      </c>
      <c r="J201">
        <v>0</v>
      </c>
      <c r="K201">
        <f>MAX(0,MIN(10,ROUND(E201*0.20+F201*0.25+G201*0.25+H201*0.25+I201/100*0.50-J201*0.15,1)))</f>
        <v>7.4</v>
      </c>
      <c r="L201" t="str">
        <f>IF(K201&gt;=5,"Apto","No apto")</f>
        <v>Apto</v>
      </c>
      <c r="M201" t="inlineStr">
        <is>
          <t>Mejora clara respecto al primer parcial.</t>
        </is>
      </c>
    </row>
  </sheetData>
  <autoFilter ref="A1:M20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55" customWidth="1"/>
  </cols>
  <sheetData>
    <row r="1">
      <c r="A1" t="inlineStr" s="1">
        <is>
          <t>Indicador</t>
        </is>
      </c>
      <c r="B1" t="inlineStr" s="1">
        <is>
          <t>Valor</t>
        </is>
      </c>
      <c r="C1" t="inlineStr" s="1">
        <is>
          <t>Fórmula / criterio</t>
        </is>
      </c>
    </row>
    <row r="2">
      <c r="A2" t="inlineStr">
        <is>
          <t>Registros de calificación</t>
        </is>
      </c>
      <c r="B2">
        <v>200</v>
      </c>
      <c r="C2">
        <f>COUNTA(Calificaciones!A2:A201)</f>
        <v>200</v>
      </c>
    </row>
    <row r="3">
      <c r="A3" t="inlineStr">
        <is>
          <t>Alumnos distintos</t>
        </is>
      </c>
      <c r="B3">
        <v>40</v>
      </c>
      <c r="C3" t="inlineStr">
        <is>
          <t>40 alumnos x 5 asignaturas</t>
        </is>
      </c>
    </row>
    <row r="4">
      <c r="A4" t="inlineStr">
        <is>
          <t>Asignaturas</t>
        </is>
      </c>
      <c r="B4">
        <v>5</v>
      </c>
      <c r="C4" t="inlineStr">
        <is>
          <t>Dificultad distinta por asignatura</t>
        </is>
      </c>
    </row>
    <row r="5">
      <c r="A5" t="inlineStr">
        <is>
          <t>Media prácticas</t>
        </is>
      </c>
      <c r="B5">
        <v>6.54</v>
      </c>
      <c r="C5">
        <f>AVERAGE(Calificaciones!E2:E201)</f>
        <v>6.54</v>
      </c>
    </row>
    <row r="6">
      <c r="A6" t="inlineStr">
        <is>
          <t>Media parcial 1</t>
        </is>
      </c>
      <c r="B6">
        <v>6.1</v>
      </c>
      <c r="C6">
        <f>AVERAGE(Calificaciones!F2:F201)</f>
        <v>6.1</v>
      </c>
    </row>
    <row r="7">
      <c r="A7" t="inlineStr">
        <is>
          <t>Media parcial 2</t>
        </is>
      </c>
      <c r="B7">
        <v>6.36</v>
      </c>
      <c r="C7">
        <f>AVERAGE(Calificaciones!G2:G201)</f>
        <v>6.36</v>
      </c>
    </row>
    <row r="8">
      <c r="A8" t="inlineStr">
        <is>
          <t>Media proyecto</t>
        </is>
      </c>
      <c r="B8">
        <v>6.56</v>
      </c>
      <c r="C8">
        <f>AVERAGE(Calificaciones!H2:H201)</f>
        <v>6.56</v>
      </c>
    </row>
    <row r="9">
      <c r="A9" t="inlineStr">
        <is>
          <t>Media nota final</t>
        </is>
      </c>
      <c r="B9">
        <v>6.44</v>
      </c>
      <c r="C9">
        <f>AVERAGE(Calificaciones!K2:K201)</f>
        <v>6.44</v>
      </c>
    </row>
    <row r="10">
      <c r="A10" t="inlineStr">
        <is>
          <t>Desviación típica nota final</t>
        </is>
      </c>
      <c r="B10">
        <v>1.38</v>
      </c>
      <c r="C10" t="inlineStr">
        <is>
          <t>Mayor variación que en el original</t>
        </is>
      </c>
    </row>
    <row r="11">
      <c r="A11" t="inlineStr">
        <is>
          <t>Aptos</t>
        </is>
      </c>
      <c r="B11">
        <v>172</v>
      </c>
      <c r="C11">
        <f>COUNTIF(Calificaciones!L2:L201,"Apto")</f>
        <v>172</v>
      </c>
    </row>
    <row r="12">
      <c r="A12" t="inlineStr">
        <is>
          <t>No aptos</t>
        </is>
      </c>
      <c r="B12">
        <v>28</v>
      </c>
      <c r="C12">
        <f>COUNTIF(Calificaciones!L2:L201,"No apto")</f>
        <v>28</v>
      </c>
    </row>
  </sheetData>
  <autoFilter ref="A1:C1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14" customWidth="1"/>
    <col min="4" max="4" width="14" customWidth="1"/>
    <col min="5" max="5" width="14" customWidth="1"/>
    <col min="6" max="6" width="14" customWidth="1"/>
    <col min="7" max="7" width="12" customWidth="1"/>
    <col min="8" max="8" width="10" customWidth="1"/>
    <col min="9" max="9" width="8" customWidth="1"/>
    <col min="10" max="10" width="10" customWidth="1"/>
    <col min="11" max="11" width="24" customWidth="1"/>
  </cols>
  <sheetData>
    <row r="1">
      <c r="A1" t="inlineStr" s="1">
        <is>
          <t>Asignatura</t>
        </is>
      </c>
      <c r="B1" t="inlineStr" s="1">
        <is>
          <t>Registros</t>
        </is>
      </c>
      <c r="C1" t="inlineStr" s="1">
        <is>
          <t>Media prácticas</t>
        </is>
      </c>
      <c r="D1" t="inlineStr" s="1">
        <is>
          <t>Media parcial 1</t>
        </is>
      </c>
      <c r="E1" t="inlineStr" s="1">
        <is>
          <t>Media parcial 2</t>
        </is>
      </c>
      <c r="F1" t="inlineStr" s="1">
        <is>
          <t>Media proyecto</t>
        </is>
      </c>
      <c r="G1" t="inlineStr" s="1">
        <is>
          <t>Media final</t>
        </is>
      </c>
      <c r="H1" t="inlineStr" s="1">
        <is>
          <t>Desv. final</t>
        </is>
      </c>
      <c r="I1" t="inlineStr" s="1">
        <is>
          <t>Aptos</t>
        </is>
      </c>
      <c r="J1" t="inlineStr" s="1">
        <is>
          <t>No aptos</t>
        </is>
      </c>
      <c r="K1" t="inlineStr" s="1">
        <is>
          <t>Lectura</t>
        </is>
      </c>
    </row>
    <row r="2">
      <c r="A2" t="inlineStr">
        <is>
          <t>Cálculo Numérico</t>
        </is>
      </c>
      <c r="B2">
        <v>40</v>
      </c>
      <c r="C2">
        <v>6.41</v>
      </c>
      <c r="D2">
        <v>5.82</v>
      </c>
      <c r="E2">
        <v>6.21</v>
      </c>
      <c r="F2">
        <v>6.18</v>
      </c>
      <c r="G2">
        <v>6.21</v>
      </c>
      <c r="H2">
        <v>1.3</v>
      </c>
      <c r="I2">
        <v>33</v>
      </c>
      <c r="J2">
        <v>7</v>
      </c>
      <c r="K2" t="inlineStr">
        <is>
          <t>Dificultad media</t>
        </is>
      </c>
    </row>
    <row r="3">
      <c r="A3" t="inlineStr">
        <is>
          <t>Sistemas Digitales</t>
        </is>
      </c>
      <c r="B3">
        <v>40</v>
      </c>
      <c r="C3">
        <v>6.9</v>
      </c>
      <c r="D3">
        <v>6.52</v>
      </c>
      <c r="E3">
        <v>6.54</v>
      </c>
      <c r="F3">
        <v>6.84</v>
      </c>
      <c r="G3">
        <v>6.75</v>
      </c>
      <c r="H3">
        <v>1.12</v>
      </c>
      <c r="I3">
        <v>38</v>
      </c>
      <c r="J3">
        <v>2</v>
      </c>
      <c r="K3" t="inlineStr">
        <is>
          <t>Dificultad media</t>
        </is>
      </c>
    </row>
    <row r="4">
      <c r="A4" t="inlineStr">
        <is>
          <t>Termodinámica Aplicada</t>
        </is>
      </c>
      <c r="B4">
        <v>40</v>
      </c>
      <c r="C4">
        <v>5.68</v>
      </c>
      <c r="D4">
        <v>4.96</v>
      </c>
      <c r="E4">
        <v>5.24</v>
      </c>
      <c r="F4">
        <v>5.19</v>
      </c>
      <c r="G4">
        <v>5.35</v>
      </c>
      <c r="H4">
        <v>1.13</v>
      </c>
      <c r="I4">
        <v>28</v>
      </c>
      <c r="J4">
        <v>12</v>
      </c>
      <c r="K4" t="inlineStr">
        <is>
          <t>Más difícil</t>
        </is>
      </c>
    </row>
    <row r="5">
      <c r="A5" t="inlineStr">
        <is>
          <t>Robótica Móvil</t>
        </is>
      </c>
      <c r="B5">
        <v>40</v>
      </c>
      <c r="C5">
        <v>7.21</v>
      </c>
      <c r="D5">
        <v>6.79</v>
      </c>
      <c r="E5">
        <v>7.09</v>
      </c>
      <c r="F5">
        <v>7.85</v>
      </c>
      <c r="G5">
        <v>7.26</v>
      </c>
      <c r="H5">
        <v>1.19</v>
      </c>
      <c r="I5">
        <v>38</v>
      </c>
      <c r="J5">
        <v>2</v>
      </c>
      <c r="K5" t="inlineStr">
        <is>
          <t>Más asequible/práctica</t>
        </is>
      </c>
    </row>
    <row r="6">
      <c r="A6" t="inlineStr">
        <is>
          <t>Redes Industriales</t>
        </is>
      </c>
      <c r="B6">
        <v>40</v>
      </c>
      <c r="C6">
        <v>6.52</v>
      </c>
      <c r="D6">
        <v>6.43</v>
      </c>
      <c r="E6">
        <v>6.74</v>
      </c>
      <c r="F6">
        <v>6.72</v>
      </c>
      <c r="G6">
        <v>6.65</v>
      </c>
      <c r="H6">
        <v>1.34</v>
      </c>
      <c r="I6">
        <v>35</v>
      </c>
      <c r="J6">
        <v>5</v>
      </c>
      <c r="K6" t="inlineStr">
        <is>
          <t>Dificultad media</t>
        </is>
      </c>
    </row>
  </sheetData>
  <autoFilter ref="A1:K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95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Fórmula nota final</t>
        </is>
      </c>
      <c r="B2" t="inlineStr">
        <is>
          <t>20% prácticas + 25% parcial 1 + 25% parcial 2 + 25% proyecto + hasta 0,5 por asistencia - 0,15 por entrega retrasada</t>
        </is>
      </c>
    </row>
    <row r="3">
      <c r="A3" t="inlineStr">
        <is>
          <t>Redondeo</t>
        </is>
      </c>
      <c r="B3" t="inlineStr">
        <is>
          <t>1 decimal, limitado entre 0 y 10</t>
        </is>
      </c>
    </row>
    <row r="4">
      <c r="A4" t="inlineStr">
        <is>
          <t>Apto</t>
        </is>
      </c>
      <c r="B4" t="inlineStr">
        <is>
          <t>Nota final &gt;= 5,0</t>
        </is>
      </c>
    </row>
    <row r="5">
      <c r="A5" t="inlineStr">
        <is>
          <t>Dificultad alta</t>
        </is>
      </c>
      <c r="B5" t="inlineStr">
        <is>
          <t>Termodinámica Aplicada: menor media, mayor dispersión y más suspensos</t>
        </is>
      </c>
    </row>
    <row r="6">
      <c r="A6" t="inlineStr">
        <is>
          <t>Dificultad baja</t>
        </is>
      </c>
      <c r="B6" t="inlineStr">
        <is>
          <t>Robótica Móvil: recuperable con proyecto, mayor media</t>
        </is>
      </c>
    </row>
    <row r="7">
      <c r="A7" t="inlineStr">
        <is>
          <t>Generador</t>
        </is>
      </c>
      <c r="B7" t="inlineStr">
        <is>
          <t>generar_calificaciones_realistas.py; semilla fija 20260524</t>
        </is>
      </c>
    </row>
  </sheetData>
  <autoFilter ref="A1:B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4" customWidth="1"/>
    <col min="4" max="4" width="18" customWidth="1"/>
    <col min="5" max="5" width="65" customWidth="1"/>
    <col min="6" max="6" width="42" customWidth="1"/>
    <col min="7" max="7" width="12" customWidth="1"/>
  </cols>
  <sheetData>
    <row r="1">
      <c r="A1" t="inlineStr" s="1">
        <is>
          <t>Fecha</t>
        </is>
      </c>
      <c r="B1" t="inlineStr" s="1">
        <is>
          <t>Alumno</t>
        </is>
      </c>
      <c r="C1" t="inlineStr" s="1">
        <is>
          <t>Asignatura</t>
        </is>
      </c>
      <c r="D1" t="inlineStr" s="1">
        <is>
          <t>Tipo</t>
        </is>
      </c>
      <c r="E1" t="inlineStr" s="1">
        <is>
          <t>Descripción</t>
        </is>
      </c>
      <c r="F1" t="inlineStr" s="1">
        <is>
          <t>Acción tomada</t>
        </is>
      </c>
      <c r="G1" t="inlineStr" s="1">
        <is>
          <t>Estado</t>
        </is>
      </c>
    </row>
    <row r="2">
      <c r="A2" t="inlineStr">
        <is>
          <t>2026-04-26</t>
        </is>
      </c>
      <c r="B2" t="inlineStr">
        <is>
          <t>Noa Peña</t>
        </is>
      </c>
      <c r="C2" t="inlineStr">
        <is>
          <t>Termodinámica Aplicada</t>
        </is>
      </c>
      <c r="D2" t="inlineStr">
        <is>
          <t>Tutoría recomendada</t>
        </is>
      </c>
      <c r="E2" t="inlineStr">
        <is>
          <t>Seguimiento 1: tutoría recomendada en Termodinámica Aplicada; nota provisional 3.8 y asistencia 100%.</t>
        </is>
      </c>
      <c r="F2" t="inlineStr">
        <is>
          <t>Tutoría y plan de recuperación</t>
        </is>
      </c>
      <c r="G2" t="inlineStr">
        <is>
          <t>Pendiente</t>
        </is>
      </c>
    </row>
    <row r="3">
      <c r="A3" t="inlineStr">
        <is>
          <t>2026-04-19</t>
        </is>
      </c>
      <c r="B3" t="inlineStr">
        <is>
          <t>Valeria Cruz</t>
        </is>
      </c>
      <c r="C3" t="inlineStr">
        <is>
          <t>Redes Industriales</t>
        </is>
      </c>
      <c r="D3" t="inlineStr">
        <is>
          <t>Tutoría recomendada</t>
        </is>
      </c>
      <c r="E3" t="inlineStr">
        <is>
          <t>Seguimiento 2: tutoría recomendada en Redes Industriales; nota provisional 3.9 y asistencia 76%.</t>
        </is>
      </c>
      <c r="F3" t="inlineStr">
        <is>
          <t>Tutoría y plan de recuperación</t>
        </is>
      </c>
      <c r="G3" t="inlineStr">
        <is>
          <t>Pendiente</t>
        </is>
      </c>
    </row>
    <row r="4">
      <c r="A4" t="inlineStr">
        <is>
          <t>2026-05-29</t>
        </is>
      </c>
      <c r="B4" t="inlineStr">
        <is>
          <t>Valeria Cruz</t>
        </is>
      </c>
      <c r="C4" t="inlineStr">
        <is>
          <t>Robótica Móvil</t>
        </is>
      </c>
      <c r="D4" t="inlineStr">
        <is>
          <t>Falta justificada</t>
        </is>
      </c>
      <c r="E4" t="inlineStr">
        <is>
          <t>Seguimiento 3: falta justificada en Robótica Móvil; nota provisional 5.1 y asistencia 93%.</t>
        </is>
      </c>
      <c r="F4" t="inlineStr">
        <is>
          <t>Anotado en aula virtual y comunicado al estudiante</t>
        </is>
      </c>
      <c r="G4" t="inlineStr">
        <is>
          <t>Cerrado</t>
        </is>
      </c>
    </row>
    <row r="5">
      <c r="A5" t="inlineStr">
        <is>
          <t>2026-03-13</t>
        </is>
      </c>
      <c r="B5" t="inlineStr">
        <is>
          <t>Rubén Lozano</t>
        </is>
      </c>
      <c r="C5" t="inlineStr">
        <is>
          <t>Sistemas Digitales</t>
        </is>
      </c>
      <c r="D5" t="inlineStr">
        <is>
          <t>Reentrega</t>
        </is>
      </c>
      <c r="E5" t="inlineStr">
        <is>
          <t>Seguimiento 4: reentrega en Sistemas Digitales; nota provisional 7.4 y asistencia 56%.</t>
        </is>
      </c>
      <c r="F5" t="inlineStr">
        <is>
          <t>Anotado en aula virtual y comunicado al estudiante</t>
        </is>
      </c>
      <c r="G5" t="inlineStr">
        <is>
          <t>Cerrado</t>
        </is>
      </c>
    </row>
    <row r="6">
      <c r="A6" t="inlineStr">
        <is>
          <t>2026-02-11</t>
        </is>
      </c>
      <c r="B6" t="inlineStr">
        <is>
          <t>Valeria Cruz</t>
        </is>
      </c>
      <c r="C6" t="inlineStr">
        <is>
          <t>Sistemas Digitales</t>
        </is>
      </c>
      <c r="D6" t="inlineStr">
        <is>
          <t>Tutoría recomendada</t>
        </is>
      </c>
      <c r="E6" t="inlineStr">
        <is>
          <t>Seguimiento 5: tutoría recomendada en Sistemas Digitales; nota provisional 4.6 y asistencia 81%.</t>
        </is>
      </c>
      <c r="F6" t="inlineStr">
        <is>
          <t>Tutoría y plan de recuperación</t>
        </is>
      </c>
      <c r="G6" t="inlineStr">
        <is>
          <t>Pendiente</t>
        </is>
      </c>
    </row>
    <row r="7">
      <c r="A7" t="inlineStr">
        <is>
          <t>2026-04-20</t>
        </is>
      </c>
      <c r="B7" t="inlineStr">
        <is>
          <t>Rubén Lozano</t>
        </is>
      </c>
      <c r="C7" t="inlineStr">
        <is>
          <t>Cálculo Numérico</t>
        </is>
      </c>
      <c r="D7" t="inlineStr">
        <is>
          <t>Retraso</t>
        </is>
      </c>
      <c r="E7" t="inlineStr">
        <is>
          <t>Seguimiento 6: retraso en Cálculo Numérico; nota provisional 6.4 y asistencia 70%.</t>
        </is>
      </c>
      <c r="F7" t="inlineStr">
        <is>
          <t>Anotado en aula virtual y comunicado al estudiante</t>
        </is>
      </c>
      <c r="G7" t="inlineStr">
        <is>
          <t>Cerrado</t>
        </is>
      </c>
    </row>
    <row r="8">
      <c r="A8" t="inlineStr">
        <is>
          <t>2026-04-24</t>
        </is>
      </c>
      <c r="B8" t="inlineStr">
        <is>
          <t>Mateo Aguilar</t>
        </is>
      </c>
      <c r="C8" t="inlineStr">
        <is>
          <t>Cálculo Numérico</t>
        </is>
      </c>
      <c r="D8" t="inlineStr">
        <is>
          <t>Retraso</t>
        </is>
      </c>
      <c r="E8" t="inlineStr">
        <is>
          <t>Seguimiento 7: retraso en Cálculo Numérico; nota provisional 5.4 y asistencia 63%.</t>
        </is>
      </c>
      <c r="F8" t="inlineStr">
        <is>
          <t>Anotado en aula virtual y comunicado al estudiante</t>
        </is>
      </c>
      <c r="G8" t="inlineStr">
        <is>
          <t>Cerrado</t>
        </is>
      </c>
    </row>
    <row r="9">
      <c r="A9" t="inlineStr">
        <is>
          <t>2026-05-08</t>
        </is>
      </c>
      <c r="B9" t="inlineStr">
        <is>
          <t>Beatriz Santos</t>
        </is>
      </c>
      <c r="C9" t="inlineStr">
        <is>
          <t>Termodinámica Aplicada</t>
        </is>
      </c>
      <c r="D9" t="inlineStr">
        <is>
          <t>Falta justificada</t>
        </is>
      </c>
      <c r="E9" t="inlineStr">
        <is>
          <t>Seguimiento 8: falta justificada en Termodinámica Aplicada; nota provisional 5.6 y asistencia 68%.</t>
        </is>
      </c>
      <c r="F9" t="inlineStr">
        <is>
          <t>Anotado en aula virtual y comunicado al estudiante</t>
        </is>
      </c>
      <c r="G9" t="inlineStr">
        <is>
          <t>Cerrado</t>
        </is>
      </c>
    </row>
    <row r="10">
      <c r="A10" t="inlineStr">
        <is>
          <t>2026-05-12</t>
        </is>
      </c>
      <c r="B10" t="inlineStr">
        <is>
          <t>Alicia Pastor</t>
        </is>
      </c>
      <c r="C10" t="inlineStr">
        <is>
          <t>Robótica Móvil</t>
        </is>
      </c>
      <c r="D10" t="inlineStr">
        <is>
          <t>Tutoría recomendada</t>
        </is>
      </c>
      <c r="E10" t="inlineStr">
        <is>
          <t>Seguimiento 9: tutoría recomendada en Robótica Móvil; nota provisional 5.0 y asistencia 96%.</t>
        </is>
      </c>
      <c r="F10" t="inlineStr">
        <is>
          <t>Anotado en aula virtual y comunicado al estudiante</t>
        </is>
      </c>
      <c r="G10" t="inlineStr">
        <is>
          <t>Cerrado</t>
        </is>
      </c>
    </row>
    <row r="11">
      <c r="A11" t="inlineStr">
        <is>
          <t>2026-02-22</t>
        </is>
      </c>
      <c r="B11" t="inlineStr">
        <is>
          <t>Julia Fuentes</t>
        </is>
      </c>
      <c r="C11" t="inlineStr">
        <is>
          <t>Redes Industriales</t>
        </is>
      </c>
      <c r="D11" t="inlineStr">
        <is>
          <t>Retraso</t>
        </is>
      </c>
      <c r="E11" t="inlineStr">
        <is>
          <t>Seguimiento 10: retraso en Redes Industriales; nota provisional 7.7 y asistencia 66%.</t>
        </is>
      </c>
      <c r="F11" t="inlineStr">
        <is>
          <t>Anotado en aula virtual y comunicado al estudiante</t>
        </is>
      </c>
      <c r="G11" t="inlineStr">
        <is>
          <t>Cerrado</t>
        </is>
      </c>
    </row>
    <row r="12">
      <c r="A12" t="inlineStr">
        <is>
          <t>2026-04-26</t>
        </is>
      </c>
      <c r="B12" t="inlineStr">
        <is>
          <t>Nuria Castro</t>
        </is>
      </c>
      <c r="C12" t="inlineStr">
        <is>
          <t>Cálculo Numérico</t>
        </is>
      </c>
      <c r="D12" t="inlineStr">
        <is>
          <t>Reentrega</t>
        </is>
      </c>
      <c r="E12" t="inlineStr">
        <is>
          <t>Seguimiento 11: reentrega en Cálculo Numérico; nota provisional 6.2 y asistencia 66%.</t>
        </is>
      </c>
      <c r="F12" t="inlineStr">
        <is>
          <t>Anotado en aula virtual y comunicado al estudiante</t>
        </is>
      </c>
      <c r="G12" t="inlineStr">
        <is>
          <t>Cerrado</t>
        </is>
      </c>
    </row>
    <row r="13">
      <c r="A13" t="inlineStr">
        <is>
          <t>2026-05-14</t>
        </is>
      </c>
      <c r="B13" t="inlineStr">
        <is>
          <t>Eva Herrero</t>
        </is>
      </c>
      <c r="C13" t="inlineStr">
        <is>
          <t>Robótica Móvil</t>
        </is>
      </c>
      <c r="D13" t="inlineStr">
        <is>
          <t>Tutoría recomendada</t>
        </is>
      </c>
      <c r="E13" t="inlineStr">
        <is>
          <t>Seguimiento 12: tutoría recomendada en Robótica Móvil; nota provisional 4.6 y asistencia 79%.</t>
        </is>
      </c>
      <c r="F13" t="inlineStr">
        <is>
          <t>Tutoría y plan de recuperación</t>
        </is>
      </c>
      <c r="G13" t="inlineStr">
        <is>
          <t>Cerrado</t>
        </is>
      </c>
    </row>
    <row r="14">
      <c r="A14" t="inlineStr">
        <is>
          <t>2026-04-06</t>
        </is>
      </c>
      <c r="B14" t="inlineStr">
        <is>
          <t>Irene Vidal</t>
        </is>
      </c>
      <c r="C14" t="inlineStr">
        <is>
          <t>Termodinámica Aplicada</t>
        </is>
      </c>
      <c r="D14" t="inlineStr">
        <is>
          <t>Incidencia técnica</t>
        </is>
      </c>
      <c r="E14" t="inlineStr">
        <is>
          <t>Seguimiento 13: incidencia técnica en Termodinámica Aplicada; nota provisional 5.3 y asistencia 71%.</t>
        </is>
      </c>
      <c r="F14" t="inlineStr">
        <is>
          <t>Anotado en aula virtual y comunicado al estudiante</t>
        </is>
      </c>
      <c r="G14" t="inlineStr">
        <is>
          <t>Cerrado</t>
        </is>
      </c>
    </row>
    <row r="15">
      <c r="A15" t="inlineStr">
        <is>
          <t>2026-03-22</t>
        </is>
      </c>
      <c r="B15" t="inlineStr">
        <is>
          <t>Alicia Pastor</t>
        </is>
      </c>
      <c r="C15" t="inlineStr">
        <is>
          <t>Termodinámica Aplicada</t>
        </is>
      </c>
      <c r="D15" t="inlineStr">
        <is>
          <t>Tutoría recomendada</t>
        </is>
      </c>
      <c r="E15" t="inlineStr">
        <is>
          <t>Seguimiento 14: tutoría recomendada en Termodinámica Aplicada; nota provisional 3.9 y asistencia 100%.</t>
        </is>
      </c>
      <c r="F15" t="inlineStr">
        <is>
          <t>Tutoría y plan de recuperación</t>
        </is>
      </c>
      <c r="G15" t="inlineStr">
        <is>
          <t>Pendiente</t>
        </is>
      </c>
    </row>
    <row r="16">
      <c r="A16" t="inlineStr">
        <is>
          <t>2026-03-29</t>
        </is>
      </c>
      <c r="B16" t="inlineStr">
        <is>
          <t>Paula Romero</t>
        </is>
      </c>
      <c r="C16" t="inlineStr">
        <is>
          <t>Termodinámica Aplicada</t>
        </is>
      </c>
      <c r="D16" t="inlineStr">
        <is>
          <t>Tutoría recomendada</t>
        </is>
      </c>
      <c r="E16" t="inlineStr">
        <is>
          <t>Seguimiento 15: tutoría recomendada en Termodinámica Aplicada; nota provisional 4.7 y asistencia 95%.</t>
        </is>
      </c>
      <c r="F16" t="inlineStr">
        <is>
          <t>Tutoría y plan de recuperación</t>
        </is>
      </c>
      <c r="G16" t="inlineStr">
        <is>
          <t>Pendiente</t>
        </is>
      </c>
    </row>
    <row r="17">
      <c r="A17" t="inlineStr">
        <is>
          <t>2026-05-06</t>
        </is>
      </c>
      <c r="B17" t="inlineStr">
        <is>
          <t>Daniel García</t>
        </is>
      </c>
      <c r="C17" t="inlineStr">
        <is>
          <t>Redes Industriales</t>
        </is>
      </c>
      <c r="D17" t="inlineStr">
        <is>
          <t>Tutoría recomendada</t>
        </is>
      </c>
      <c r="E17" t="inlineStr">
        <is>
          <t>Seguimiento 16: tutoría recomendada en Redes Industriales; nota provisional 2.8 y asistencia 79%.</t>
        </is>
      </c>
      <c r="F17" t="inlineStr">
        <is>
          <t>Tutoría y plan de recuperación</t>
        </is>
      </c>
      <c r="G17" t="inlineStr">
        <is>
          <t>Pendiente</t>
        </is>
      </c>
    </row>
    <row r="18">
      <c r="A18" t="inlineStr">
        <is>
          <t>2026-02-26</t>
        </is>
      </c>
      <c r="B18" t="inlineStr">
        <is>
          <t>Clara Ibáñez</t>
        </is>
      </c>
      <c r="C18" t="inlineStr">
        <is>
          <t>Termodinámica Aplicada</t>
        </is>
      </c>
      <c r="D18" t="inlineStr">
        <is>
          <t>Tutoría recomendada</t>
        </is>
      </c>
      <c r="E18" t="inlineStr">
        <is>
          <t>Seguimiento 17: tutoría recomendada en Termodinámica Aplicada; nota provisional 4.5 y asistencia 99%.</t>
        </is>
      </c>
      <c r="F18" t="inlineStr">
        <is>
          <t>Tutoría y plan de recuperación</t>
        </is>
      </c>
      <c r="G18" t="inlineStr">
        <is>
          <t>Pendiente</t>
        </is>
      </c>
    </row>
    <row r="19">
      <c r="A19" t="inlineStr">
        <is>
          <t>2026-04-23</t>
        </is>
      </c>
      <c r="B19" t="inlineStr">
        <is>
          <t>Mateo Aguilar</t>
        </is>
      </c>
      <c r="C19" t="inlineStr">
        <is>
          <t>Sistemas Digitales</t>
        </is>
      </c>
      <c r="D19" t="inlineStr">
        <is>
          <t>Falta justificada</t>
        </is>
      </c>
      <c r="E19" t="inlineStr">
        <is>
          <t>Seguimiento 18: falta justificada en Sistemas Digitales; nota provisional 7.3 y asistencia 67%.</t>
        </is>
      </c>
      <c r="F19" t="inlineStr">
        <is>
          <t>Anotado en aula virtual y comunicado al estudiante</t>
        </is>
      </c>
      <c r="G19" t="inlineStr">
        <is>
          <t>Cerrado</t>
        </is>
      </c>
    </row>
    <row r="20">
      <c r="A20" t="inlineStr">
        <is>
          <t>2026-05-26</t>
        </is>
      </c>
      <c r="B20" t="inlineStr">
        <is>
          <t>Julia Fuentes</t>
        </is>
      </c>
      <c r="C20" t="inlineStr">
        <is>
          <t>Robótica Móvil</t>
        </is>
      </c>
      <c r="D20" t="inlineStr">
        <is>
          <t>Tutoría recomendada</t>
        </is>
      </c>
      <c r="E20" t="inlineStr">
        <is>
          <t>Seguimiento 19: tutoría recomendada en Robótica Móvil; nota provisional 9.3 y asistencia 71%.</t>
        </is>
      </c>
      <c r="F20" t="inlineStr">
        <is>
          <t>Anotado en aula virtual y comunicado al estudiante</t>
        </is>
      </c>
      <c r="G20" t="inlineStr">
        <is>
          <t>Cerrado</t>
        </is>
      </c>
    </row>
    <row r="21">
      <c r="A21" t="inlineStr">
        <is>
          <t>2026-03-03</t>
        </is>
      </c>
      <c r="B21" t="inlineStr">
        <is>
          <t>Bruno León</t>
        </is>
      </c>
      <c r="C21" t="inlineStr">
        <is>
          <t>Robótica Móvil</t>
        </is>
      </c>
      <c r="D21" t="inlineStr">
        <is>
          <t>Retraso</t>
        </is>
      </c>
      <c r="E21" t="inlineStr">
        <is>
          <t>Seguimiento 20: retraso en Robótica Móvil; nota provisional 7.6 y asistencia 99%.</t>
        </is>
      </c>
      <c r="F21" t="inlineStr">
        <is>
          <t>Anotado en aula virtual y comunicado al estudiante</t>
        </is>
      </c>
      <c r="G21" t="inlineStr">
        <is>
          <t>Cerrado</t>
        </is>
      </c>
    </row>
    <row r="22">
      <c r="A22" t="inlineStr">
        <is>
          <t>2026-02-20</t>
        </is>
      </c>
      <c r="B22" t="inlineStr">
        <is>
          <t>Víctor Cano</t>
        </is>
      </c>
      <c r="C22" t="inlineStr">
        <is>
          <t>Cálculo Numérico</t>
        </is>
      </c>
      <c r="D22" t="inlineStr">
        <is>
          <t>Tutoría recomendada</t>
        </is>
      </c>
      <c r="E22" t="inlineStr">
        <is>
          <t>Seguimiento 21: tutoría recomendada en Cálculo Numérico; nota provisional 4.7 y asistencia 98%.</t>
        </is>
      </c>
      <c r="F22" t="inlineStr">
        <is>
          <t>Tutoría y plan de recuperación</t>
        </is>
      </c>
      <c r="G22" t="inlineStr">
        <is>
          <t>Cerrado</t>
        </is>
      </c>
    </row>
    <row r="23">
      <c r="A23" t="inlineStr">
        <is>
          <t>2026-03-17</t>
        </is>
      </c>
      <c r="B23" t="inlineStr">
        <is>
          <t>Adrián Torres</t>
        </is>
      </c>
      <c r="C23" t="inlineStr">
        <is>
          <t>Redes Industriales</t>
        </is>
      </c>
      <c r="D23" t="inlineStr">
        <is>
          <t>Retraso</t>
        </is>
      </c>
      <c r="E23" t="inlineStr">
        <is>
          <t>Seguimiento 22: retraso en Redes Industriales; nota provisional 6.8 y asistencia 65%.</t>
        </is>
      </c>
      <c r="F23" t="inlineStr">
        <is>
          <t>Anotado en aula virtual y comunicado al estudiante</t>
        </is>
      </c>
      <c r="G23" t="inlineStr">
        <is>
          <t>Cerrado</t>
        </is>
      </c>
    </row>
    <row r="24">
      <c r="A24" t="inlineStr">
        <is>
          <t>2026-05-06</t>
        </is>
      </c>
      <c r="B24" t="inlineStr">
        <is>
          <t>Daniel García</t>
        </is>
      </c>
      <c r="C24" t="inlineStr">
        <is>
          <t>Cálculo Numérico</t>
        </is>
      </c>
      <c r="D24" t="inlineStr">
        <is>
          <t>Tutoría recomendada</t>
        </is>
      </c>
      <c r="E24" t="inlineStr">
        <is>
          <t>Seguimiento 23: tutoría recomendada en Cálculo Numérico; nota provisional 4.0 y asistencia 79%.</t>
        </is>
      </c>
      <c r="F24" t="inlineStr">
        <is>
          <t>Tutoría y plan de recuperación</t>
        </is>
      </c>
      <c r="G24" t="inlineStr">
        <is>
          <t>Cerrado</t>
        </is>
      </c>
    </row>
    <row r="25">
      <c r="A25" t="inlineStr">
        <is>
          <t>2026-02-15</t>
        </is>
      </c>
      <c r="B25" t="inlineStr">
        <is>
          <t>Carmen Ortega</t>
        </is>
      </c>
      <c r="C25" t="inlineStr">
        <is>
          <t>Termodinámica Aplicada</t>
        </is>
      </c>
      <c r="D25" t="inlineStr">
        <is>
          <t>Tutoría recomendada</t>
        </is>
      </c>
      <c r="E25" t="inlineStr">
        <is>
          <t>Seguimiento 24: tutoría recomendada en Termodinámica Aplicada; nota provisional 5.1 y asistencia 66%.</t>
        </is>
      </c>
      <c r="F25" t="inlineStr">
        <is>
          <t>Anotado en aula virtual y comunicado al estudiante</t>
        </is>
      </c>
      <c r="G25" t="inlineStr">
        <is>
          <t>Cerrado</t>
        </is>
      </c>
    </row>
    <row r="26">
      <c r="A26" t="inlineStr">
        <is>
          <t>2026-02-24</t>
        </is>
      </c>
      <c r="B26" t="inlineStr">
        <is>
          <t>Nuria Castro</t>
        </is>
      </c>
      <c r="C26" t="inlineStr">
        <is>
          <t>Redes Industriales</t>
        </is>
      </c>
      <c r="D26" t="inlineStr">
        <is>
          <t>Retraso</t>
        </is>
      </c>
      <c r="E26" t="inlineStr">
        <is>
          <t>Seguimiento 25: retraso en Redes Industriales; nota provisional 7.9 y asistencia 69%.</t>
        </is>
      </c>
      <c r="F26" t="inlineStr">
        <is>
          <t>Anotado en aula virtual y comunicado al estudiante</t>
        </is>
      </c>
      <c r="G26" t="inlineStr">
        <is>
          <t>Cerrado</t>
        </is>
      </c>
    </row>
    <row r="27">
      <c r="A27" t="inlineStr">
        <is>
          <t>2026-02-27</t>
        </is>
      </c>
      <c r="B27" t="inlineStr">
        <is>
          <t>Sara Campos</t>
        </is>
      </c>
      <c r="C27" t="inlineStr">
        <is>
          <t>Cálculo Numérico</t>
        </is>
      </c>
      <c r="D27" t="inlineStr">
        <is>
          <t>Tutoría recomendada</t>
        </is>
      </c>
      <c r="E27" t="inlineStr">
        <is>
          <t>Seguimiento 26: tutoría recomendada en Cálculo Numérico; nota provisional 4.6 y asistencia 92%.</t>
        </is>
      </c>
      <c r="F27" t="inlineStr">
        <is>
          <t>Tutoría y plan de recuperación</t>
        </is>
      </c>
      <c r="G27" t="inlineStr">
        <is>
          <t>Cerrado</t>
        </is>
      </c>
    </row>
    <row r="28">
      <c r="A28" t="inlineStr">
        <is>
          <t>2026-03-30</t>
        </is>
      </c>
      <c r="B28" t="inlineStr">
        <is>
          <t>Raúl Pardo</t>
        </is>
      </c>
      <c r="C28" t="inlineStr">
        <is>
          <t>Termodinámica Aplicada</t>
        </is>
      </c>
      <c r="D28" t="inlineStr">
        <is>
          <t>Tutoría recomendada</t>
        </is>
      </c>
      <c r="E28" t="inlineStr">
        <is>
          <t>Seguimiento 27: tutoría recomendada en Termodinámica Aplicada; nota provisional 4.2 y asistencia 81%.</t>
        </is>
      </c>
      <c r="F28" t="inlineStr">
        <is>
          <t>Tutoría y plan de recuperación</t>
        </is>
      </c>
      <c r="G28" t="inlineStr">
        <is>
          <t>Pendiente</t>
        </is>
      </c>
    </row>
    <row r="29">
      <c r="A29" t="inlineStr">
        <is>
          <t>2026-05-09</t>
        </is>
      </c>
      <c r="B29" t="inlineStr">
        <is>
          <t>Daniel García</t>
        </is>
      </c>
      <c r="C29" t="inlineStr">
        <is>
          <t>Termodinámica Aplicada</t>
        </is>
      </c>
      <c r="D29" t="inlineStr">
        <is>
          <t>Tutoría recomendada</t>
        </is>
      </c>
      <c r="E29" t="inlineStr">
        <is>
          <t>Seguimiento 28: tutoría recomendada en Termodinámica Aplicada; nota provisional 2.5 y asistencia 82%.</t>
        </is>
      </c>
      <c r="F29" t="inlineStr">
        <is>
          <t>Tutoría y plan de recuperación</t>
        </is>
      </c>
      <c r="G29" t="inlineStr">
        <is>
          <t>Cerrado</t>
        </is>
      </c>
    </row>
    <row r="30">
      <c r="A30" t="inlineStr">
        <is>
          <t>2026-03-27</t>
        </is>
      </c>
      <c r="B30" t="inlineStr">
        <is>
          <t>Valeria Cruz</t>
        </is>
      </c>
      <c r="C30" t="inlineStr">
        <is>
          <t>Cálculo Numérico</t>
        </is>
      </c>
      <c r="D30" t="inlineStr">
        <is>
          <t>Tutoría recomendada</t>
        </is>
      </c>
      <c r="E30" t="inlineStr">
        <is>
          <t>Seguimiento 29: tutoría recomendada en Cálculo Numérico; nota provisional 3.9 y asistencia 78%.</t>
        </is>
      </c>
      <c r="F30" t="inlineStr">
        <is>
          <t>Tutoría y plan de recuperación</t>
        </is>
      </c>
      <c r="G30" t="inlineStr">
        <is>
          <t>Pendiente</t>
        </is>
      </c>
    </row>
    <row r="31">
      <c r="A31" t="inlineStr">
        <is>
          <t>2026-03-19</t>
        </is>
      </c>
      <c r="B31" t="inlineStr">
        <is>
          <t>Víctor Cano</t>
        </is>
      </c>
      <c r="C31" t="inlineStr">
        <is>
          <t>Termodinámica Aplicada</t>
        </is>
      </c>
      <c r="D31" t="inlineStr">
        <is>
          <t>Tutoría recomendada</t>
        </is>
      </c>
      <c r="E31" t="inlineStr">
        <is>
          <t>Seguimiento 30: tutoría recomendada en Termodinámica Aplicada; nota provisional 4.4 y asistencia 85%.</t>
        </is>
      </c>
      <c r="F31" t="inlineStr">
        <is>
          <t>Tutoría y plan de recuperación</t>
        </is>
      </c>
      <c r="G31" t="inlineStr">
        <is>
          <t>Cerrado</t>
        </is>
      </c>
    </row>
    <row r="32">
      <c r="A32" t="inlineStr">
        <is>
          <t>2026-02-18</t>
        </is>
      </c>
      <c r="B32" t="inlineStr">
        <is>
          <t>Iván Soler</t>
        </is>
      </c>
      <c r="C32" t="inlineStr">
        <is>
          <t>Termodinámica Aplicada</t>
        </is>
      </c>
      <c r="D32" t="inlineStr">
        <is>
          <t>Incidencia técnica</t>
        </is>
      </c>
      <c r="E32" t="inlineStr">
        <is>
          <t>Seguimiento 31: incidencia técnica en Termodinámica Aplicada; nota provisional 5.0 y asistencia 89%.</t>
        </is>
      </c>
      <c r="F32" t="inlineStr">
        <is>
          <t>Anotado en aula virtual y comunicado al estudiante</t>
        </is>
      </c>
      <c r="G32" t="inlineStr">
        <is>
          <t>Cerrado</t>
        </is>
      </c>
    </row>
    <row r="33">
      <c r="A33" t="inlineStr">
        <is>
          <t>2026-05-09</t>
        </is>
      </c>
      <c r="B33" t="inlineStr">
        <is>
          <t>Julia Fuentes</t>
        </is>
      </c>
      <c r="C33" t="inlineStr">
        <is>
          <t>Termodinámica Aplicada</t>
        </is>
      </c>
      <c r="D33" t="inlineStr">
        <is>
          <t>Tutoría recomendada</t>
        </is>
      </c>
      <c r="E33" t="inlineStr">
        <is>
          <t>Seguimiento 32: tutoría recomendada en Termodinámica Aplicada; nota provisional 6.4 y asistencia 69%.</t>
        </is>
      </c>
      <c r="F33" t="inlineStr">
        <is>
          <t>Anotado en aula virtual y comunicado al estudiante</t>
        </is>
      </c>
      <c r="G33" t="inlineStr">
        <is>
          <t>Cerrado</t>
        </is>
      </c>
    </row>
    <row r="34">
      <c r="A34" t="inlineStr">
        <is>
          <t>2026-03-28</t>
        </is>
      </c>
      <c r="B34" t="inlineStr">
        <is>
          <t>Clara Ibáñez</t>
        </is>
      </c>
      <c r="C34" t="inlineStr">
        <is>
          <t>Redes Industriales</t>
        </is>
      </c>
      <c r="D34" t="inlineStr">
        <is>
          <t>Retraso</t>
        </is>
      </c>
      <c r="E34" t="inlineStr">
        <is>
          <t>Seguimiento 33: retraso en Redes Industriales; nota provisional 5.6 y asistencia 68%.</t>
        </is>
      </c>
      <c r="F34" t="inlineStr">
        <is>
          <t>Anotado en aula virtual y comunicado al estudiante</t>
        </is>
      </c>
      <c r="G34" t="inlineStr">
        <is>
          <t>Cerrado</t>
        </is>
      </c>
    </row>
    <row r="35">
      <c r="A35" t="inlineStr">
        <is>
          <t>2026-04-08</t>
        </is>
      </c>
      <c r="B35" t="inlineStr">
        <is>
          <t>Gonzalo Arias</t>
        </is>
      </c>
      <c r="C35" t="inlineStr">
        <is>
          <t>Termodinámica Aplicada</t>
        </is>
      </c>
      <c r="D35" t="inlineStr">
        <is>
          <t>Tutoría recomendada</t>
        </is>
      </c>
      <c r="E35" t="inlineStr">
        <is>
          <t>Seguimiento 34: tutoría recomendada en Termodinámica Aplicada; nota provisional 7.2 y asistencia 69%.</t>
        </is>
      </c>
      <c r="F35" t="inlineStr">
        <is>
          <t>Anotado en aula virtual y comunicado al estudiante</t>
        </is>
      </c>
      <c r="G35" t="inlineStr">
        <is>
          <t>Cerrado</t>
        </is>
      </c>
    </row>
    <row r="36">
      <c r="A36" t="inlineStr">
        <is>
          <t>2026-02-21</t>
        </is>
      </c>
      <c r="B36" t="inlineStr">
        <is>
          <t>Víctor Cano</t>
        </is>
      </c>
      <c r="C36" t="inlineStr">
        <is>
          <t>Redes Industriales</t>
        </is>
      </c>
      <c r="D36" t="inlineStr">
        <is>
          <t>Retraso</t>
        </is>
      </c>
      <c r="E36" t="inlineStr">
        <is>
          <t>Seguimiento 35: retraso en Redes Industriales; nota provisional 6.1 y asistencia 71%.</t>
        </is>
      </c>
      <c r="F36" t="inlineStr">
        <is>
          <t>Anotado en aula virtual y comunicado al estudiante</t>
        </is>
      </c>
      <c r="G36" t="inlineStr">
        <is>
          <t>Cerrado</t>
        </is>
      </c>
    </row>
    <row r="37">
      <c r="A37" t="inlineStr">
        <is>
          <t>2026-05-17</t>
        </is>
      </c>
      <c r="B37" t="inlineStr">
        <is>
          <t>Adrián Torres</t>
        </is>
      </c>
      <c r="C37" t="inlineStr">
        <is>
          <t>Termodinámica Aplicada</t>
        </is>
      </c>
      <c r="D37" t="inlineStr">
        <is>
          <t>Incidencia técnica</t>
        </is>
      </c>
      <c r="E37" t="inlineStr">
        <is>
          <t>Seguimiento 36: incidencia técnica en Termodinámica Aplicada; nota provisional 5.0 y asistencia 73%.</t>
        </is>
      </c>
      <c r="F37" t="inlineStr">
        <is>
          <t>Anotado en aula virtual y comunicado al estudiante</t>
        </is>
      </c>
      <c r="G37" t="inlineStr">
        <is>
          <t>Cerrado</t>
        </is>
      </c>
    </row>
    <row r="38">
      <c r="A38" t="inlineStr">
        <is>
          <t>2026-05-24</t>
        </is>
      </c>
      <c r="B38" t="inlineStr">
        <is>
          <t>Alicia Pastor</t>
        </is>
      </c>
      <c r="C38" t="inlineStr">
        <is>
          <t>Cálculo Numérico</t>
        </is>
      </c>
      <c r="D38" t="inlineStr">
        <is>
          <t>Tutoría recomendada</t>
        </is>
      </c>
      <c r="E38" t="inlineStr">
        <is>
          <t>Seguimiento 37: tutoría recomendada en Cálculo Numérico; nota provisional 4.9 y asistencia 97%.</t>
        </is>
      </c>
      <c r="F38" t="inlineStr">
        <is>
          <t>Tutoría y plan de recuperación</t>
        </is>
      </c>
      <c r="G38" t="inlineStr">
        <is>
          <t>Pendiente</t>
        </is>
      </c>
    </row>
    <row r="39">
      <c r="A39" t="inlineStr">
        <is>
          <t>2026-05-12</t>
        </is>
      </c>
      <c r="B39" t="inlineStr">
        <is>
          <t>Daniel García</t>
        </is>
      </c>
      <c r="C39" t="inlineStr">
        <is>
          <t>Sistemas Digitales</t>
        </is>
      </c>
      <c r="D39" t="inlineStr">
        <is>
          <t>Tutoría recomendada</t>
        </is>
      </c>
      <c r="E39" t="inlineStr">
        <is>
          <t>Seguimiento 38: tutoría recomendada en Sistemas Digitales; nota provisional 3.9 y asistencia 90%.</t>
        </is>
      </c>
      <c r="F39" t="inlineStr">
        <is>
          <t>Tutoría y plan de recuperación</t>
        </is>
      </c>
      <c r="G39" t="inlineStr">
        <is>
          <t>Cerrado</t>
        </is>
      </c>
    </row>
    <row r="40">
      <c r="A40" t="inlineStr">
        <is>
          <t>2026-04-23</t>
        </is>
      </c>
      <c r="B40" t="inlineStr">
        <is>
          <t>Nuria Castro</t>
        </is>
      </c>
      <c r="C40" t="inlineStr">
        <is>
          <t>Robótica Móvil</t>
        </is>
      </c>
      <c r="D40" t="inlineStr">
        <is>
          <t>Falta justificada</t>
        </is>
      </c>
      <c r="E40" t="inlineStr">
        <is>
          <t>Seguimiento 39: falta justificada en Robótica Móvil; nota provisional 7.2 y asistencia 68%.</t>
        </is>
      </c>
      <c r="F40" t="inlineStr">
        <is>
          <t>Anotado en aula virtual y comunicado al estudiante</t>
        </is>
      </c>
      <c r="G40" t="inlineStr">
        <is>
          <t>Cerrado</t>
        </is>
      </c>
    </row>
    <row r="41">
      <c r="A41" t="inlineStr">
        <is>
          <t>2026-03-13</t>
        </is>
      </c>
      <c r="B41" t="inlineStr">
        <is>
          <t>Sara Campos</t>
        </is>
      </c>
      <c r="C41" t="inlineStr">
        <is>
          <t>Termodinámica Aplicada</t>
        </is>
      </c>
      <c r="D41" t="inlineStr">
        <is>
          <t>Tutoría recomendada</t>
        </is>
      </c>
      <c r="E41" t="inlineStr">
        <is>
          <t>Seguimiento 40: tutoría recomendada en Termodinámica Aplicada; nota provisional 4.5 y asistencia 97%.</t>
        </is>
      </c>
      <c r="F41" t="inlineStr">
        <is>
          <t>Tutoría y plan de recuperación</t>
        </is>
      </c>
      <c r="G41" t="inlineStr">
        <is>
          <t>Cerrado</t>
        </is>
      </c>
    </row>
    <row r="42">
      <c r="A42" t="inlineStr">
        <is>
          <t>2026-02-21</t>
        </is>
      </c>
      <c r="B42" t="inlineStr">
        <is>
          <t>Noa Peña</t>
        </is>
      </c>
      <c r="C42" t="inlineStr">
        <is>
          <t>Redes Industriales</t>
        </is>
      </c>
      <c r="D42" t="inlineStr">
        <is>
          <t>Tutoría recomendada</t>
        </is>
      </c>
      <c r="E42" t="inlineStr">
        <is>
          <t>Seguimiento 41: tutoría recomendada en Redes Industriales; nota provisional 4.7 y asistencia 93%.</t>
        </is>
      </c>
      <c r="F42" t="inlineStr">
        <is>
          <t>Tutoría y plan de recuperación</t>
        </is>
      </c>
      <c r="G42" t="inlineStr">
        <is>
          <t>Pendiente</t>
        </is>
      </c>
    </row>
    <row r="43">
      <c r="A43" t="inlineStr">
        <is>
          <t>2026-04-07</t>
        </is>
      </c>
      <c r="B43" t="inlineStr">
        <is>
          <t>Mateo Aguilar</t>
        </is>
      </c>
      <c r="C43" t="inlineStr">
        <is>
          <t>Redes Industriales</t>
        </is>
      </c>
      <c r="D43" t="inlineStr">
        <is>
          <t>Retraso</t>
        </is>
      </c>
      <c r="E43" t="inlineStr">
        <is>
          <t>Seguimiento 42: retraso en Redes Industriales; nota provisional 7.1 y asistencia 59%.</t>
        </is>
      </c>
      <c r="F43" t="inlineStr">
        <is>
          <t>Anotado en aula virtual y comunicado al estudiante</t>
        </is>
      </c>
      <c r="G43" t="inlineStr">
        <is>
          <t>Cerrado</t>
        </is>
      </c>
    </row>
  </sheetData>
  <autoFilter ref="A1:G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Hermes 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Calificaciones realistas de ingeniería</dc:title>
  <dc:creator>Hermes Agent</dc:creator>
  <dc:description>Dataset ficticio con variación realista, fórmula consistente y dificultad por asignatura.</dc:description>
  <dcterms:created xsi:type="dcterms:W3CDTF">2026-05-24T12:00:00Z</dcterms:created>
</cp:coreProperties>
</file>